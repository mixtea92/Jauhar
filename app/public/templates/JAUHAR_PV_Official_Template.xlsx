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yafi\Downloads\"/>
    </mc:Choice>
  </mc:AlternateContent>
  <xr:revisionPtr revIDLastSave="0" documentId="13_ncr:1_{4192A85C-1C4E-4597-BEE0-1A2CCDA43A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mple PV" sheetId="8" r:id="rId1"/>
    <sheet name="Blank Form" sheetId="11" r:id="rId2"/>
    <sheet name="PV Approval Matrix" sheetId="10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1" l="1"/>
  <c r="K40" i="11" s="1"/>
  <c r="D26" i="11"/>
  <c r="K38" i="8"/>
  <c r="K40" i="8" s="1"/>
  <c r="D26" i="8"/>
  <c r="L26" i="11" l="1"/>
  <c r="I26" i="11"/>
  <c r="L26" i="8"/>
  <c r="I26" i="8"/>
</calcChain>
</file>

<file path=xl/sharedStrings.xml><?xml version="1.0" encoding="utf-8"?>
<sst xmlns="http://schemas.openxmlformats.org/spreadsheetml/2006/main" count="414" uniqueCount="122">
  <si>
    <t>Document No.</t>
  </si>
  <si>
    <t>FM-FIN-PV_AP-0000</t>
  </si>
  <si>
    <t>Revision No.</t>
  </si>
  <si>
    <t>0000</t>
  </si>
  <si>
    <t xml:space="preserve">Effective Date </t>
  </si>
  <si>
    <t>01-Nov-2026</t>
  </si>
  <si>
    <t>FINANCE DEPARTMENT  I  FORM</t>
  </si>
  <si>
    <t xml:space="preserve">Page </t>
  </si>
  <si>
    <t>1 of 1</t>
  </si>
  <si>
    <t>TITLE: PAYMENT VOUCHER</t>
  </si>
  <si>
    <t>PAYMENT VOUCHER</t>
  </si>
  <si>
    <t>Voucher No.</t>
  </si>
  <si>
    <t>PV No.</t>
  </si>
  <si>
    <t>PV2026/00001</t>
  </si>
  <si>
    <t>PV Date</t>
  </si>
  <si>
    <t>Date</t>
  </si>
  <si>
    <t>25.11.2026</t>
  </si>
  <si>
    <t>PAYEE DETAILS</t>
  </si>
  <si>
    <t>Payee Name</t>
  </si>
  <si>
    <t>Yap Kian Property</t>
  </si>
  <si>
    <r>
      <t xml:space="preserve">Supplier Code / Staff ID
</t>
    </r>
    <r>
      <rPr>
        <i/>
        <sz val="8"/>
        <rFont val="Calibri"/>
        <family val="2"/>
        <scheme val="minor"/>
      </rPr>
      <t>(if applicable)</t>
    </r>
  </si>
  <si>
    <t>Supplier / Staff ID</t>
  </si>
  <si>
    <t>Y0001</t>
  </si>
  <si>
    <t>Bank Name</t>
  </si>
  <si>
    <t>Ambank Berhad</t>
  </si>
  <si>
    <t>Bank Account No.</t>
  </si>
  <si>
    <t>5689 1234 5678</t>
  </si>
  <si>
    <t>JMC Branch</t>
  </si>
  <si>
    <t>Branch / Cost Centre</t>
  </si>
  <si>
    <t>GP</t>
  </si>
  <si>
    <t>PAYMENT DETAILS</t>
  </si>
  <si>
    <t>Payment Method</t>
  </si>
  <si>
    <t>Online Transfer</t>
  </si>
  <si>
    <r>
      <t xml:space="preserve">Transaction / Cheque No.
</t>
    </r>
    <r>
      <rPr>
        <i/>
        <sz val="8"/>
        <rFont val="Calibri"/>
        <family val="2"/>
        <scheme val="minor"/>
      </rPr>
      <t>(To be completed after payment)</t>
    </r>
  </si>
  <si>
    <t>Transaction / Cheque No.</t>
  </si>
  <si>
    <r>
      <t xml:space="preserve">Payment Date
</t>
    </r>
    <r>
      <rPr>
        <i/>
        <sz val="8"/>
        <rFont val="Calibri"/>
        <family val="2"/>
        <scheme val="minor"/>
      </rPr>
      <t>(To be completed after payment)</t>
    </r>
  </si>
  <si>
    <t>Payment Date</t>
  </si>
  <si>
    <t>Payment Type</t>
  </si>
  <si>
    <t>Other</t>
  </si>
  <si>
    <t>Expense Nature</t>
  </si>
  <si>
    <t>Recurring</t>
  </si>
  <si>
    <t>Budget Classification</t>
  </si>
  <si>
    <t>Budgeted</t>
  </si>
  <si>
    <t>PV Approval Tier</t>
  </si>
  <si>
    <t>Final Approver</t>
  </si>
  <si>
    <t>JR Required</t>
  </si>
  <si>
    <t>No.</t>
  </si>
  <si>
    <t>Invoice / Refernce No.</t>
  </si>
  <si>
    <t>Invoice No. / Date</t>
  </si>
  <si>
    <t>Description</t>
  </si>
  <si>
    <t>GL Code</t>
  </si>
  <si>
    <t>GL Account Code</t>
  </si>
  <si>
    <t>Amount (RM)</t>
  </si>
  <si>
    <t>Rental JMCGP_October 2026</t>
  </si>
  <si>
    <t>6100 - Rental Expenses</t>
  </si>
  <si>
    <t>Subtotal (RM)</t>
  </si>
  <si>
    <r>
      <t xml:space="preserve">SST Amount </t>
    </r>
    <r>
      <rPr>
        <i/>
        <sz val="10"/>
        <color rgb="FF222222"/>
        <rFont val="Calibri"/>
        <family val="2"/>
        <scheme val="minor"/>
      </rPr>
      <t xml:space="preserve">(per supporting invoice if applicable) </t>
    </r>
    <r>
      <rPr>
        <b/>
        <sz val="11"/>
        <color rgb="FF222222"/>
        <rFont val="Calibri"/>
        <family val="2"/>
        <scheme val="minor"/>
      </rPr>
      <t xml:space="preserve">(RM) </t>
    </r>
  </si>
  <si>
    <t>Total Payment (RM)</t>
  </si>
  <si>
    <t>SUPPORTING DOCUMENTS</t>
  </si>
  <si>
    <r>
      <t xml:space="preserve">[  ] Invoice    [  ] Quatation </t>
    </r>
    <r>
      <rPr>
        <i/>
        <sz val="10"/>
        <color rgb="FF222222"/>
        <rFont val="Calibri"/>
        <family val="2"/>
        <scheme val="minor"/>
      </rPr>
      <t xml:space="preserve">(if applicable) </t>
    </r>
    <r>
      <rPr>
        <sz val="11"/>
        <color rgb="FF222222"/>
        <rFont val="Calibri"/>
        <family val="2"/>
        <scheme val="minor"/>
      </rPr>
      <t xml:space="preserve">   [  ] Payment Request Form </t>
    </r>
    <r>
      <rPr>
        <i/>
        <sz val="10"/>
        <color rgb="FF222222"/>
        <rFont val="Calibri"/>
        <family val="2"/>
        <scheme val="minor"/>
      </rPr>
      <t xml:space="preserve">(if applicable) </t>
    </r>
    <r>
      <rPr>
        <sz val="11"/>
        <color rgb="FF222222"/>
        <rFont val="Calibri"/>
        <family val="2"/>
        <scheme val="minor"/>
      </rPr>
      <t xml:space="preserve">    [  ] Other </t>
    </r>
    <r>
      <rPr>
        <i/>
        <sz val="10"/>
        <color rgb="FF222222"/>
        <rFont val="Calibri"/>
        <family val="2"/>
        <scheme val="minor"/>
      </rPr>
      <t>(please specify)</t>
    </r>
    <r>
      <rPr>
        <sz val="11"/>
        <color rgb="FF222222"/>
        <rFont val="Calibri"/>
        <family val="2"/>
        <scheme val="minor"/>
      </rPr>
      <t>: __________________</t>
    </r>
  </si>
  <si>
    <t>REMARKS</t>
  </si>
  <si>
    <t>Comments / Justification (if required):</t>
  </si>
  <si>
    <t>Prepared By
Finance Executive</t>
  </si>
  <si>
    <t>Verified By
Finance Manager</t>
  </si>
  <si>
    <t>Approved By
CEO / Director</t>
  </si>
  <si>
    <t xml:space="preserve"> _________________________</t>
  </si>
  <si>
    <t xml:space="preserve">Name : </t>
  </si>
  <si>
    <t>Name :</t>
  </si>
  <si>
    <t xml:space="preserve">Date: </t>
  </si>
  <si>
    <t>Date :</t>
  </si>
  <si>
    <t>Note : PV approval is required before payment.</t>
  </si>
  <si>
    <t>Finance Department | Internal Use Only</t>
  </si>
  <si>
    <t>PV Code</t>
  </si>
  <si>
    <t>Category</t>
  </si>
  <si>
    <t>Description / Example</t>
  </si>
  <si>
    <t>Executor</t>
  </si>
  <si>
    <t>Backup Executor</t>
  </si>
  <si>
    <t>PV Tier Selection (Dropdown)</t>
  </si>
  <si>
    <t>T01</t>
  </si>
  <si>
    <t>Fixed / recurring payments (rental, utilities, leasing, HP)</t>
  </si>
  <si>
    <t>FM</t>
  </si>
  <si>
    <t>No</t>
  </si>
  <si>
    <t>AP Executive</t>
  </si>
  <si>
    <t>AR Executive / Accountant</t>
  </si>
  <si>
    <t>T01 - Fixed Amount Recurring Monthly</t>
  </si>
  <si>
    <t>T02</t>
  </si>
  <si>
    <t>Variable payment within approved budget ≤ RM10,000</t>
  </si>
  <si>
    <t>T02 - Within Budgeted ≤ RM10,000</t>
  </si>
  <si>
    <t>T03</t>
  </si>
  <si>
    <t>Variable payment exceeding approved budget ≤ RM10,000</t>
  </si>
  <si>
    <t>CEO</t>
  </si>
  <si>
    <t>Yes</t>
  </si>
  <si>
    <t>T03 - Exceeds Budgeted ≤ RM10,000</t>
  </si>
  <si>
    <t>T04</t>
  </si>
  <si>
    <t>Variable payment within approved budget &gt; RM10,000</t>
  </si>
  <si>
    <t>T04 - Within Budgeted &gt; RM10,000</t>
  </si>
  <si>
    <t>T05</t>
  </si>
  <si>
    <t>Variable payment exceeding approved budget &gt; RM10,000</t>
  </si>
  <si>
    <t>BOD</t>
  </si>
  <si>
    <t>T05 - Exceeds Budgeted &gt; RM10,000</t>
  </si>
  <si>
    <t>T06</t>
  </si>
  <si>
    <t>Unbudgeted</t>
  </si>
  <si>
    <t>Unbudgeted payment &gt; RM1,000 (CSR, sponsorship)</t>
  </si>
  <si>
    <t>T06 - Unbudgeted &gt; RM1,000</t>
  </si>
  <si>
    <t>T07</t>
  </si>
  <si>
    <t>Unbudgeted payment ≤ RM1,000 (urgent ad hoc purchase)</t>
  </si>
  <si>
    <t>T07 - Unbudgeted ≤ RM1,000</t>
  </si>
  <si>
    <t>T08</t>
  </si>
  <si>
    <t>Payroll</t>
  </si>
  <si>
    <t>Payroll within approved budget ≤ RM200,000</t>
  </si>
  <si>
    <t>BOD (Encik Zulkarnain)</t>
  </si>
  <si>
    <t>T08 - Payroll Within Approved Budget ≤ RM200,000</t>
  </si>
  <si>
    <t>T09</t>
  </si>
  <si>
    <t>Payroll exceeding approved budget &gt; RM200,000</t>
  </si>
  <si>
    <t>T09 - Payroll Exceeds Approved Budget &gt; RM200,000</t>
  </si>
  <si>
    <t>Notes: Tier is based on the full payment amount; do not split payments to bypass limits.</t>
  </si>
  <si>
    <t>Approval authority is based on the Finance meeting discussion dated 20 October 2026.</t>
  </si>
  <si>
    <t>PV Tier</t>
  </si>
  <si>
    <t>PVT01</t>
  </si>
  <si>
    <t>Payroll tiers follow the approved matrix; confirm treatment of other payroll amounts with management.</t>
  </si>
  <si>
    <t>Rental JMCKM_October 2026</t>
  </si>
  <si>
    <t>28.11.2026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</si>
</sst>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"/>
    <numFmt numFmtId="165" formatCode="#,##0.00;\(#,##0.00\);&quot;-&quot;"/>
    <numFmt numFmtId="166" formatCode="d\-mmm\-yyyy"/>
  </numFmts>
  <fonts count="22">
    <font>
      <sz val="11"/>
      <name val="Carlito"/>
    </font>
    <font>
      <sz val="11"/>
      <color theme="1"/>
      <name val="Calibri"/>
      <family val="2"/>
    </font>
    <font>
      <sz val="10"/>
      <color rgb="FF222222"/>
      <name val="Arial"/>
      <family val="2"/>
    </font>
    <font>
      <sz val="10"/>
      <color rgb="FF222222"/>
      <name val="Arial"/>
      <family val="2"/>
    </font>
    <font>
      <b/>
      <sz val="25"/>
      <color theme="0"/>
      <name val="Arial"/>
      <family val="2"/>
    </font>
    <font>
      <sz val="11"/>
      <color rgb="FF222222"/>
      <name val="Calibri"/>
      <family val="2"/>
    </font>
    <font>
      <b/>
      <sz val="11"/>
      <color rgb="FF222222"/>
      <name val="Calibri"/>
      <family val="2"/>
    </font>
    <font>
      <b/>
      <sz val="2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9"/>
      <color rgb="FF222222"/>
      <name val="Calibri"/>
      <family val="2"/>
    </font>
    <font>
      <b/>
      <i/>
      <sz val="9"/>
      <color rgb="FF222222"/>
      <name val="Calibri"/>
      <family val="2"/>
    </font>
    <font>
      <b/>
      <sz val="11"/>
      <color rgb="FFD6AD55"/>
      <name val="Calibri Light"/>
      <family val="2"/>
    </font>
    <font>
      <b/>
      <sz val="11"/>
      <color rgb="FFD4AF37"/>
      <name val="Calibri Light"/>
      <family val="2"/>
    </font>
    <font>
      <sz val="11"/>
      <name val="Calibri Light"/>
      <family val="2"/>
    </font>
    <font>
      <i/>
      <sz val="10"/>
      <name val="Carlito"/>
    </font>
    <font>
      <sz val="11"/>
      <color rgb="FF191919"/>
      <name val="Calibri"/>
      <family val="2"/>
    </font>
    <font>
      <i/>
      <sz val="8"/>
      <name val="Calibri"/>
      <family val="2"/>
      <scheme val="minor"/>
    </font>
    <font>
      <i/>
      <sz val="10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theme="1"/>
      </patternFill>
    </fill>
    <fill>
      <patternFill patternType="solid">
        <fgColor rgb="FFFFCC00"/>
      </patternFill>
    </fill>
    <fill>
      <patternFill patternType="solid">
        <fgColor theme="1" tint="4.9989318521683403E-2"/>
        <bgColor indexed="65"/>
      </patternFill>
    </fill>
    <fill>
      <patternFill patternType="solid">
        <fgColor theme="0"/>
      </patternFill>
    </fill>
    <fill>
      <patternFill patternType="solid">
        <fgColor rgb="FF161616"/>
      </patternFill>
    </fill>
    <fill>
      <patternFill patternType="solid">
        <fgColor rgb="FFFFF5D9"/>
      </patternFill>
    </fill>
    <fill>
      <patternFill patternType="solid">
        <fgColor rgb="FF191919"/>
      </patternFill>
    </fill>
    <fill>
      <patternFill patternType="solid">
        <fgColor theme="0" tint="-4.9989318521683403E-2"/>
        <bgColor indexed="65"/>
      </patternFill>
    </fill>
  </fills>
  <borders count="2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BFBFBF"/>
      </left>
      <right/>
      <top/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14999847407452621"/>
      </right>
      <top/>
      <bottom style="thin">
        <color theme="0" tint="-0.34998626667073579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rgb="FFBFBFBF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8" fillId="0" borderId="26" xfId="0" applyFont="1" applyBorder="1" applyAlignment="1">
      <alignment vertical="center"/>
    </xf>
    <xf numFmtId="0" fontId="12" fillId="7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/>
    <xf numFmtId="0" fontId="5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2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top"/>
    </xf>
    <xf numFmtId="0" fontId="10" fillId="0" borderId="23" xfId="0" applyFont="1" applyBorder="1" applyAlignment="1">
      <alignment horizontal="left" vertical="top"/>
    </xf>
    <xf numFmtId="0" fontId="5" fillId="0" borderId="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6" fillId="2" borderId="0" xfId="0" applyFont="1" applyFill="1" applyAlignment="1">
      <alignment horizontal="right" vertical="center" wrapText="1"/>
    </xf>
    <xf numFmtId="165" fontId="6" fillId="2" borderId="0" xfId="0" applyNumberFormat="1" applyFont="1" applyFill="1" applyAlignment="1">
      <alignment horizontal="right" vertical="center" wrapText="1"/>
    </xf>
    <xf numFmtId="0" fontId="6" fillId="4" borderId="0" xfId="0" applyFont="1" applyFill="1" applyAlignment="1">
      <alignment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center" wrapText="1"/>
    </xf>
    <xf numFmtId="0" fontId="5" fillId="8" borderId="11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165" fontId="8" fillId="0" borderId="4" xfId="0" applyNumberFormat="1" applyFont="1" applyBorder="1" applyAlignment="1">
      <alignment horizontal="right" vertical="center" wrapText="1"/>
    </xf>
    <xf numFmtId="0" fontId="6" fillId="2" borderId="6" xfId="0" applyFont="1" applyFill="1" applyBorder="1" applyAlignment="1">
      <alignment horizontal="right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left" vertical="center" wrapText="1"/>
    </xf>
    <xf numFmtId="0" fontId="8" fillId="10" borderId="0" xfId="0" applyFont="1" applyFill="1" applyAlignment="1">
      <alignment horizontal="left" vertical="center"/>
    </xf>
    <xf numFmtId="0" fontId="8" fillId="10" borderId="24" xfId="0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2" borderId="16" xfId="0" applyFont="1" applyFill="1" applyBorder="1" applyAlignment="1">
      <alignment vertical="center" wrapText="1"/>
    </xf>
    <xf numFmtId="0" fontId="8" fillId="2" borderId="25" xfId="0" applyFont="1" applyFill="1" applyBorder="1" applyAlignment="1">
      <alignment vertical="center" wrapText="1"/>
    </xf>
    <xf numFmtId="1" fontId="8" fillId="0" borderId="26" xfId="0" applyNumberFormat="1" applyFont="1" applyBorder="1" applyAlignment="1">
      <alignment horizontal="left" vertical="center" wrapText="1"/>
    </xf>
    <xf numFmtId="0" fontId="8" fillId="2" borderId="26" xfId="0" applyFont="1" applyFill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8" fillId="2" borderId="24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49" fontId="8" fillId="0" borderId="26" xfId="0" applyNumberFormat="1" applyFont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3" fontId="8" fillId="0" borderId="17" xfId="0" applyNumberFormat="1" applyFont="1" applyBorder="1" applyAlignment="1">
      <alignment horizontal="left" vertical="center" wrapText="1"/>
    </xf>
    <xf numFmtId="166" fontId="8" fillId="0" borderId="17" xfId="0" applyNumberFormat="1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9" fontId="8" fillId="0" borderId="27" xfId="0" applyNumberFormat="1" applyFont="1" applyBorder="1" applyAlignment="1">
      <alignment vertical="center" wrapText="1"/>
    </xf>
    <xf numFmtId="164" fontId="8" fillId="0" borderId="27" xfId="0" applyNumberFormat="1" applyFont="1" applyBorder="1" applyAlignment="1">
      <alignment horizontal="left" vertical="center" wrapText="1"/>
    </xf>
    <xf numFmtId="0" fontId="16" fillId="0" borderId="27" xfId="0" applyFont="1" applyFill="1" applyBorder="1" applyAlignment="1">
      <alignment vertical="center"/>
    </xf>
    <xf numFmtId="0" fontId="6" fillId="4" borderId="27" xfId="0" applyFont="1" applyFill="1" applyBorder="1" applyAlignment="1">
      <alignment vertical="center" wrapText="1"/>
    </xf>
    <xf numFmtId="0" fontId="16" fillId="0" borderId="28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8" xfId="0" applyFont="1" applyFill="1" applyBorder="1" applyAlignment="1">
      <alignment vertical="center" wrapText="1"/>
    </xf>
    <xf numFmtId="0" fontId="0" fillId="0" borderId="0" xfId="0" applyFill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2">
    <dxf>
      <fill>
        <patternFill>
          <bgColor rgb="FFFCE8E6"/>
        </patternFill>
      </fill>
    </dxf>
    <dxf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157843</xdr:colOff>
      <xdr:row>0</xdr:row>
      <xdr:rowOff>56605</xdr:rowOff>
    </xdr:from>
    <xdr:to>
      <xdr:col>4</xdr:col>
      <xdr:colOff>543911</xdr:colOff>
      <xdr:row>2</xdr:row>
      <xdr:rowOff>187233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843" y="56605"/>
          <a:ext cx="2443468" cy="6640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157843</xdr:colOff>
      <xdr:row>0</xdr:row>
      <xdr:rowOff>56605</xdr:rowOff>
    </xdr:from>
    <xdr:to>
      <xdr:col>4</xdr:col>
      <xdr:colOff>543911</xdr:colOff>
      <xdr:row>2</xdr:row>
      <xdr:rowOff>187233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4075394C-BC47-478C-81C4-D4108464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843" y="56605"/>
          <a:ext cx="2443468" cy="664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</sheetPr>
  <dimension ref="A1:L54"/>
  <sheetViews>
    <sheetView showGridLines="0" tabSelected="1" view="pageBreakPreview" topLeftCell="A31" zoomScale="90" zoomScaleNormal="100" zoomScaleSheetLayoutView="90" workbookViewId="0">
      <selection activeCell="D17" sqref="D17:L17"/>
    </sheetView>
  </sheetViews>
  <sheetFormatPr defaultRowHeight="13.8"/>
  <cols>
    <col min="1" max="1" width="5" customWidth="1"/>
    <col min="2" max="11" width="9" customWidth="1"/>
    <col min="12" max="12" width="5.796875" customWidth="1"/>
  </cols>
  <sheetData>
    <row r="1" spans="1:12" ht="21" customHeight="1">
      <c r="A1" s="76"/>
      <c r="B1" s="76"/>
      <c r="C1" s="76"/>
      <c r="D1" s="76"/>
      <c r="E1" s="76"/>
      <c r="F1" s="76"/>
      <c r="G1" s="77" t="s">
        <v>0</v>
      </c>
      <c r="H1" s="77"/>
      <c r="I1" s="77" t="s">
        <v>1</v>
      </c>
      <c r="J1" s="77"/>
      <c r="K1" s="77"/>
      <c r="L1" s="77"/>
    </row>
    <row r="2" spans="1:12" ht="21" customHeight="1">
      <c r="A2" s="76"/>
      <c r="B2" s="76"/>
      <c r="C2" s="76"/>
      <c r="D2" s="76"/>
      <c r="E2" s="76"/>
      <c r="F2" s="76"/>
      <c r="G2" s="77" t="s">
        <v>2</v>
      </c>
      <c r="H2" s="77"/>
      <c r="I2" s="78" t="s">
        <v>3</v>
      </c>
      <c r="J2" s="78"/>
      <c r="K2" s="78"/>
      <c r="L2" s="78"/>
    </row>
    <row r="3" spans="1:12" ht="21" customHeight="1">
      <c r="A3" s="76"/>
      <c r="B3" s="76"/>
      <c r="C3" s="76"/>
      <c r="D3" s="76"/>
      <c r="E3" s="76"/>
      <c r="F3" s="76"/>
      <c r="G3" s="77" t="s">
        <v>4</v>
      </c>
      <c r="H3" s="77"/>
      <c r="I3" s="79" t="s">
        <v>5</v>
      </c>
      <c r="J3" s="79"/>
      <c r="K3" s="79"/>
      <c r="L3" s="79"/>
    </row>
    <row r="4" spans="1:12" ht="20.399999999999999" customHeight="1">
      <c r="A4" s="80" t="s">
        <v>6</v>
      </c>
      <c r="B4" s="80"/>
      <c r="C4" s="80"/>
      <c r="D4" s="80"/>
      <c r="E4" s="80"/>
      <c r="F4" s="80"/>
      <c r="G4" s="77" t="s">
        <v>7</v>
      </c>
      <c r="H4" s="77"/>
      <c r="I4" s="77" t="s">
        <v>8</v>
      </c>
      <c r="J4" s="77"/>
      <c r="K4" s="77"/>
      <c r="L4" s="77"/>
    </row>
    <row r="5" spans="1:12" ht="20.399999999999999" customHeight="1">
      <c r="A5" s="80" t="s">
        <v>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2.6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</row>
    <row r="7" spans="1:12" ht="4.95" customHeight="1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</row>
    <row r="8" spans="1:12" ht="4.9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2.6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" customHeight="1">
      <c r="A10" s="72" t="s">
        <v>10</v>
      </c>
      <c r="B10" s="72" t="s">
        <v>10</v>
      </c>
      <c r="C10" s="72" t="s">
        <v>10</v>
      </c>
      <c r="D10" s="72" t="s">
        <v>10</v>
      </c>
      <c r="E10" s="72" t="s">
        <v>10</v>
      </c>
      <c r="F10" s="72" t="s">
        <v>10</v>
      </c>
      <c r="G10" s="72" t="s">
        <v>10</v>
      </c>
      <c r="H10" s="72" t="s">
        <v>10</v>
      </c>
      <c r="I10" s="85" t="s">
        <v>11</v>
      </c>
      <c r="J10" s="85" t="s">
        <v>12</v>
      </c>
      <c r="K10" s="82" t="s">
        <v>13</v>
      </c>
      <c r="L10" s="82"/>
    </row>
    <row r="11" spans="1:12" ht="21" customHeight="1">
      <c r="A11" s="72" t="s">
        <v>10</v>
      </c>
      <c r="B11" s="72" t="s">
        <v>10</v>
      </c>
      <c r="C11" s="72" t="s">
        <v>10</v>
      </c>
      <c r="D11" s="72" t="s">
        <v>10</v>
      </c>
      <c r="E11" s="72" t="s">
        <v>10</v>
      </c>
      <c r="F11" s="72" t="s">
        <v>10</v>
      </c>
      <c r="G11" s="72" t="s">
        <v>10</v>
      </c>
      <c r="H11" s="72" t="s">
        <v>10</v>
      </c>
      <c r="I11" s="85" t="s">
        <v>14</v>
      </c>
      <c r="J11" s="85" t="s">
        <v>15</v>
      </c>
      <c r="K11" s="83" t="s">
        <v>16</v>
      </c>
      <c r="L11" s="83"/>
    </row>
    <row r="12" spans="1:12" ht="24" customHeight="1">
      <c r="A12" s="2"/>
      <c r="B12" s="2"/>
      <c r="C12" s="2"/>
      <c r="D12" s="2"/>
      <c r="E12" s="2"/>
      <c r="F12" s="2"/>
      <c r="G12" s="2"/>
      <c r="H12" s="2"/>
      <c r="I12" s="85" t="s">
        <v>117</v>
      </c>
      <c r="J12" s="85" t="s">
        <v>15</v>
      </c>
      <c r="K12" s="84" t="s">
        <v>118</v>
      </c>
      <c r="L12" s="84"/>
    </row>
    <row r="13" spans="1:12" s="89" customFormat="1" ht="10.8" customHeight="1">
      <c r="A13" s="87"/>
      <c r="B13" s="87"/>
      <c r="C13" s="87"/>
      <c r="D13" s="87"/>
      <c r="E13" s="87"/>
      <c r="F13" s="87"/>
      <c r="G13" s="87"/>
      <c r="H13" s="87"/>
      <c r="I13" s="88"/>
      <c r="J13" s="88"/>
      <c r="K13" s="86"/>
      <c r="L13" s="86"/>
    </row>
    <row r="14" spans="1:12" ht="17.399999999999999" customHeight="1">
      <c r="A14" s="37" t="s">
        <v>17</v>
      </c>
      <c r="B14" s="37" t="s">
        <v>17</v>
      </c>
      <c r="C14" s="37" t="s">
        <v>17</v>
      </c>
      <c r="D14" s="37" t="s">
        <v>17</v>
      </c>
      <c r="E14" s="37" t="s">
        <v>17</v>
      </c>
      <c r="F14" s="37" t="s">
        <v>17</v>
      </c>
      <c r="G14" s="37" t="s">
        <v>17</v>
      </c>
      <c r="H14" s="37" t="s">
        <v>17</v>
      </c>
      <c r="I14" s="37" t="s">
        <v>17</v>
      </c>
      <c r="J14" s="37" t="s">
        <v>17</v>
      </c>
      <c r="K14" s="37" t="s">
        <v>17</v>
      </c>
      <c r="L14" s="37" t="s">
        <v>17</v>
      </c>
    </row>
    <row r="15" spans="1:12" ht="17.399999999999999" customHeight="1">
      <c r="A15" s="73" t="s">
        <v>18</v>
      </c>
      <c r="B15" s="73" t="s">
        <v>18</v>
      </c>
      <c r="C15" s="73" t="s">
        <v>18</v>
      </c>
      <c r="D15" s="69" t="s">
        <v>19</v>
      </c>
      <c r="E15" s="69"/>
      <c r="F15" s="69"/>
      <c r="G15" s="69"/>
      <c r="H15" s="69"/>
      <c r="I15" s="69"/>
      <c r="J15" s="69"/>
      <c r="K15" s="69"/>
      <c r="L15" s="69"/>
    </row>
    <row r="16" spans="1:12" ht="25.8" customHeight="1">
      <c r="A16" s="73" t="s">
        <v>20</v>
      </c>
      <c r="B16" s="73" t="s">
        <v>21</v>
      </c>
      <c r="C16" s="73" t="s">
        <v>21</v>
      </c>
      <c r="D16" s="69" t="s">
        <v>22</v>
      </c>
      <c r="E16" s="69"/>
      <c r="F16" s="69"/>
      <c r="G16" s="69"/>
      <c r="H16" s="69"/>
      <c r="I16" s="69"/>
      <c r="J16" s="69"/>
      <c r="K16" s="69"/>
      <c r="L16" s="69"/>
    </row>
    <row r="17" spans="1:12" ht="17.399999999999999" customHeight="1">
      <c r="A17" s="73" t="s">
        <v>23</v>
      </c>
      <c r="B17" s="73" t="s">
        <v>23</v>
      </c>
      <c r="C17" s="73" t="s">
        <v>23</v>
      </c>
      <c r="D17" s="69" t="s">
        <v>24</v>
      </c>
      <c r="E17" s="69"/>
      <c r="F17" s="69"/>
      <c r="G17" s="69"/>
      <c r="H17" s="69"/>
      <c r="I17" s="69"/>
      <c r="J17" s="69"/>
      <c r="K17" s="69"/>
      <c r="L17" s="69"/>
    </row>
    <row r="18" spans="1:12" ht="17.399999999999999" customHeight="1">
      <c r="A18" s="73" t="s">
        <v>25</v>
      </c>
      <c r="B18" s="73" t="s">
        <v>25</v>
      </c>
      <c r="C18" s="73" t="s">
        <v>25</v>
      </c>
      <c r="D18" s="74" t="s">
        <v>26</v>
      </c>
      <c r="E18" s="69"/>
      <c r="F18" s="69"/>
      <c r="G18" s="69"/>
      <c r="H18" s="69"/>
      <c r="I18" s="69"/>
      <c r="J18" s="69"/>
      <c r="K18" s="69"/>
      <c r="L18" s="69"/>
    </row>
    <row r="19" spans="1:12" ht="17.399999999999999" customHeight="1">
      <c r="A19" s="73" t="s">
        <v>27</v>
      </c>
      <c r="B19" s="73" t="s">
        <v>28</v>
      </c>
      <c r="C19" s="73" t="s">
        <v>28</v>
      </c>
      <c r="D19" s="69" t="s">
        <v>29</v>
      </c>
      <c r="E19" s="69"/>
      <c r="F19" s="69"/>
      <c r="G19" s="69"/>
      <c r="H19" s="69"/>
      <c r="I19" s="69"/>
      <c r="J19" s="69"/>
      <c r="K19" s="69"/>
      <c r="L19" s="69"/>
    </row>
    <row r="20" spans="1:12" ht="22.95" customHeight="1">
      <c r="A20" s="37" t="s">
        <v>30</v>
      </c>
      <c r="B20" s="37" t="s">
        <v>30</v>
      </c>
      <c r="C20" s="37" t="s">
        <v>30</v>
      </c>
      <c r="D20" s="37" t="s">
        <v>30</v>
      </c>
      <c r="E20" s="37" t="s">
        <v>30</v>
      </c>
      <c r="F20" s="37" t="s">
        <v>30</v>
      </c>
      <c r="G20" s="37" t="s">
        <v>30</v>
      </c>
      <c r="H20" s="37" t="s">
        <v>30</v>
      </c>
      <c r="I20" s="37" t="s">
        <v>30</v>
      </c>
      <c r="J20" s="37" t="s">
        <v>30</v>
      </c>
      <c r="K20" s="37" t="s">
        <v>30</v>
      </c>
      <c r="L20" s="37" t="s">
        <v>30</v>
      </c>
    </row>
    <row r="21" spans="1:12" ht="19.8" customHeight="1">
      <c r="A21" s="70" t="s">
        <v>31</v>
      </c>
      <c r="B21" s="70" t="s">
        <v>31</v>
      </c>
      <c r="C21" s="71" t="s">
        <v>31</v>
      </c>
      <c r="D21" s="69" t="s">
        <v>32</v>
      </c>
      <c r="E21" s="69"/>
      <c r="F21" s="69"/>
      <c r="G21" s="69"/>
      <c r="H21" s="69"/>
      <c r="I21" s="69"/>
      <c r="J21" s="69"/>
      <c r="K21" s="69"/>
      <c r="L21" s="69"/>
    </row>
    <row r="22" spans="1:12" ht="25.8" customHeight="1">
      <c r="A22" s="65" t="s">
        <v>33</v>
      </c>
      <c r="B22" s="65" t="s">
        <v>34</v>
      </c>
      <c r="C22" s="66" t="s">
        <v>34</v>
      </c>
      <c r="D22" s="67">
        <v>202631100785</v>
      </c>
      <c r="E22" s="67"/>
      <c r="F22" s="67"/>
      <c r="G22" s="67"/>
      <c r="H22" s="68" t="s">
        <v>35</v>
      </c>
      <c r="I22" s="68" t="s">
        <v>36</v>
      </c>
      <c r="J22" s="68" t="s">
        <v>36</v>
      </c>
      <c r="K22" s="69" t="s">
        <v>121</v>
      </c>
      <c r="L22" s="69"/>
    </row>
    <row r="23" spans="1:12" ht="19.8" customHeight="1">
      <c r="A23" s="70" t="s">
        <v>37</v>
      </c>
      <c r="B23" s="70" t="s">
        <v>37</v>
      </c>
      <c r="C23" s="71" t="s">
        <v>37</v>
      </c>
      <c r="D23" s="69" t="s">
        <v>38</v>
      </c>
      <c r="E23" s="69"/>
      <c r="F23" s="69"/>
      <c r="G23" s="69"/>
      <c r="H23" s="69"/>
      <c r="I23" s="69"/>
      <c r="J23" s="69"/>
      <c r="K23" s="69"/>
      <c r="L23" s="69"/>
    </row>
    <row r="24" spans="1:12" ht="19.8" customHeight="1">
      <c r="A24" s="70" t="s">
        <v>39</v>
      </c>
      <c r="B24" s="70" t="s">
        <v>39</v>
      </c>
      <c r="C24" s="71" t="s">
        <v>39</v>
      </c>
      <c r="D24" s="69" t="s">
        <v>40</v>
      </c>
      <c r="E24" s="69"/>
      <c r="F24" s="69"/>
      <c r="G24" s="69"/>
      <c r="H24" s="69"/>
      <c r="I24" s="69"/>
      <c r="J24" s="69"/>
      <c r="K24" s="69"/>
      <c r="L24" s="69"/>
    </row>
    <row r="25" spans="1:12" ht="19.8" customHeight="1">
      <c r="A25" s="70" t="s">
        <v>41</v>
      </c>
      <c r="B25" s="70" t="s">
        <v>41</v>
      </c>
      <c r="C25" s="71" t="s">
        <v>41</v>
      </c>
      <c r="D25" s="69" t="s">
        <v>42</v>
      </c>
      <c r="E25" s="69"/>
      <c r="F25" s="69"/>
      <c r="G25" s="69"/>
      <c r="H25" s="69"/>
      <c r="I25" s="69"/>
      <c r="J25" s="69"/>
      <c r="K25" s="69"/>
      <c r="L25" s="69"/>
    </row>
    <row r="26" spans="1:12" ht="30.6" customHeight="1">
      <c r="A26" s="61" t="s">
        <v>43</v>
      </c>
      <c r="B26" s="61"/>
      <c r="C26" s="62"/>
      <c r="D26" s="60" t="str">
        <f>IF(K12="","",IFERROR(VLOOKUP("T"&amp;RIGHT(K12,2),'PV Approval Matrix'!$A$2:$H$10,8,FALSE),""))</f>
        <v>T01 - Fixed Amount Recurring Monthly</v>
      </c>
      <c r="E26" s="60"/>
      <c r="F26" s="60"/>
      <c r="G26" s="59" t="s">
        <v>44</v>
      </c>
      <c r="H26" s="59"/>
      <c r="I26" s="8" t="str">
        <f>IF(D26="","",IFERROR(VLOOKUP(LEFT(D26,3),'PV Approval Matrix'!$A$2:$E$10,4,FALSE),""))</f>
        <v>FM</v>
      </c>
      <c r="J26" s="59" t="s">
        <v>45</v>
      </c>
      <c r="K26" s="59"/>
      <c r="L26" s="8" t="str">
        <f>IF(D26="","",IFERROR(VLOOKUP(LEFT(D26,3),'PV Approval Matrix'!$A$2:$E$10,5,FALSE),""))</f>
        <v>No</v>
      </c>
    </row>
    <row r="27" spans="1:12" ht="30" customHeight="1">
      <c r="A27" s="4" t="s">
        <v>46</v>
      </c>
      <c r="B27" s="57" t="s">
        <v>47</v>
      </c>
      <c r="C27" s="57" t="s">
        <v>48</v>
      </c>
      <c r="D27" s="57" t="s">
        <v>48</v>
      </c>
      <c r="E27" s="57" t="s">
        <v>49</v>
      </c>
      <c r="F27" s="57" t="s">
        <v>49</v>
      </c>
      <c r="G27" s="57" t="s">
        <v>49</v>
      </c>
      <c r="H27" s="57" t="s">
        <v>49</v>
      </c>
      <c r="I27" s="57" t="s">
        <v>50</v>
      </c>
      <c r="J27" s="57" t="s">
        <v>51</v>
      </c>
      <c r="K27" s="58" t="s">
        <v>52</v>
      </c>
      <c r="L27" s="58"/>
    </row>
    <row r="28" spans="1:12" ht="19.8" customHeight="1">
      <c r="A28" s="3">
        <v>1</v>
      </c>
      <c r="B28" s="48">
        <v>50678943</v>
      </c>
      <c r="C28" s="49"/>
      <c r="D28" s="50"/>
      <c r="E28" s="51" t="s">
        <v>53</v>
      </c>
      <c r="F28" s="52"/>
      <c r="G28" s="52"/>
      <c r="H28" s="53"/>
      <c r="I28" s="63" t="s">
        <v>54</v>
      </c>
      <c r="J28" s="64"/>
      <c r="K28" s="54">
        <v>7000</v>
      </c>
      <c r="L28" s="55"/>
    </row>
    <row r="29" spans="1:12" ht="19.8" customHeight="1">
      <c r="A29" s="3">
        <v>2</v>
      </c>
      <c r="B29" s="48">
        <v>50678944</v>
      </c>
      <c r="C29" s="49"/>
      <c r="D29" s="50"/>
      <c r="E29" s="51" t="s">
        <v>120</v>
      </c>
      <c r="F29" s="52"/>
      <c r="G29" s="52"/>
      <c r="H29" s="53"/>
      <c r="I29" s="63" t="s">
        <v>54</v>
      </c>
      <c r="J29" s="64"/>
      <c r="K29" s="54">
        <v>7000</v>
      </c>
      <c r="L29" s="55"/>
    </row>
    <row r="30" spans="1:12" ht="19.8" customHeight="1">
      <c r="A30" s="3">
        <v>3</v>
      </c>
      <c r="B30" s="48"/>
      <c r="C30" s="49"/>
      <c r="D30" s="50"/>
      <c r="E30" s="51"/>
      <c r="F30" s="52"/>
      <c r="G30" s="52"/>
      <c r="H30" s="53"/>
      <c r="I30" s="51"/>
      <c r="J30" s="53"/>
      <c r="K30" s="54"/>
      <c r="L30" s="55"/>
    </row>
    <row r="31" spans="1:12" ht="19.8" customHeight="1">
      <c r="A31" s="3">
        <v>4</v>
      </c>
      <c r="B31" s="48"/>
      <c r="C31" s="49"/>
      <c r="D31" s="50"/>
      <c r="E31" s="51"/>
      <c r="F31" s="52"/>
      <c r="G31" s="52"/>
      <c r="H31" s="53"/>
      <c r="I31" s="51"/>
      <c r="J31" s="53"/>
      <c r="K31" s="54"/>
      <c r="L31" s="55"/>
    </row>
    <row r="32" spans="1:12" ht="19.8" customHeight="1">
      <c r="A32" s="3">
        <v>5</v>
      </c>
      <c r="B32" s="48"/>
      <c r="C32" s="49"/>
      <c r="D32" s="50"/>
      <c r="E32" s="51"/>
      <c r="F32" s="52"/>
      <c r="G32" s="52"/>
      <c r="H32" s="53"/>
      <c r="I32" s="51"/>
      <c r="J32" s="53"/>
      <c r="K32" s="54"/>
      <c r="L32" s="55"/>
    </row>
    <row r="33" spans="1:12" ht="19.8" customHeight="1">
      <c r="A33" s="3">
        <v>6</v>
      </c>
      <c r="B33" s="48"/>
      <c r="C33" s="49"/>
      <c r="D33" s="50"/>
      <c r="E33" s="51"/>
      <c r="F33" s="52"/>
      <c r="G33" s="52"/>
      <c r="H33" s="53"/>
      <c r="I33" s="51"/>
      <c r="J33" s="53"/>
      <c r="K33" s="54"/>
      <c r="L33" s="55"/>
    </row>
    <row r="34" spans="1:12" ht="19.8" customHeight="1">
      <c r="A34" s="3">
        <v>7</v>
      </c>
      <c r="B34" s="48"/>
      <c r="C34" s="49"/>
      <c r="D34" s="50"/>
      <c r="E34" s="51"/>
      <c r="F34" s="52"/>
      <c r="G34" s="52"/>
      <c r="H34" s="53"/>
      <c r="I34" s="51"/>
      <c r="J34" s="53"/>
      <c r="K34" s="54"/>
      <c r="L34" s="55"/>
    </row>
    <row r="35" spans="1:12" ht="19.8" customHeight="1">
      <c r="A35" s="3">
        <v>8</v>
      </c>
      <c r="B35" s="48"/>
      <c r="C35" s="49"/>
      <c r="D35" s="50"/>
      <c r="E35" s="51"/>
      <c r="F35" s="52"/>
      <c r="G35" s="52"/>
      <c r="H35" s="53"/>
      <c r="I35" s="51"/>
      <c r="J35" s="53"/>
      <c r="K35" s="54"/>
      <c r="L35" s="55"/>
    </row>
    <row r="36" spans="1:12" ht="19.8" customHeight="1">
      <c r="A36" s="3">
        <v>9</v>
      </c>
      <c r="B36" s="48"/>
      <c r="C36" s="49"/>
      <c r="D36" s="50"/>
      <c r="E36" s="51"/>
      <c r="F36" s="52"/>
      <c r="G36" s="52"/>
      <c r="H36" s="53"/>
      <c r="I36" s="51"/>
      <c r="J36" s="53"/>
      <c r="K36" s="54"/>
      <c r="L36" s="55"/>
    </row>
    <row r="37" spans="1:12" ht="19.8" customHeight="1">
      <c r="A37" s="3">
        <v>10</v>
      </c>
      <c r="B37" s="48"/>
      <c r="C37" s="49"/>
      <c r="D37" s="50"/>
      <c r="E37" s="51"/>
      <c r="F37" s="52"/>
      <c r="G37" s="52"/>
      <c r="H37" s="53"/>
      <c r="I37" s="51"/>
      <c r="J37" s="53"/>
      <c r="K37" s="54"/>
      <c r="L37" s="55"/>
    </row>
    <row r="38" spans="1:12" ht="21" customHeight="1">
      <c r="A38" s="2"/>
      <c r="B38" s="2"/>
      <c r="C38" s="2"/>
      <c r="D38" s="2"/>
      <c r="E38" s="2"/>
      <c r="F38" s="56" t="s">
        <v>55</v>
      </c>
      <c r="G38" s="56"/>
      <c r="H38" s="56"/>
      <c r="I38" s="56"/>
      <c r="J38" s="56"/>
      <c r="K38" s="36">
        <f>SUM(K28:L37)</f>
        <v>14000</v>
      </c>
      <c r="L38" s="35"/>
    </row>
    <row r="39" spans="1:12" ht="21" customHeight="1">
      <c r="A39" s="2"/>
      <c r="B39" s="2"/>
      <c r="C39" s="2"/>
      <c r="D39" s="2"/>
      <c r="E39" s="2"/>
      <c r="F39" s="35" t="s">
        <v>56</v>
      </c>
      <c r="G39" s="35"/>
      <c r="H39" s="35"/>
      <c r="I39" s="35"/>
      <c r="J39" s="35"/>
      <c r="K39" s="36">
        <v>500</v>
      </c>
      <c r="L39" s="35"/>
    </row>
    <row r="40" spans="1:12" ht="21" customHeight="1">
      <c r="A40" s="2"/>
      <c r="B40" s="2"/>
      <c r="C40" s="2"/>
      <c r="D40" s="2"/>
      <c r="E40" s="2"/>
      <c r="F40" s="35" t="s">
        <v>57</v>
      </c>
      <c r="G40" s="35"/>
      <c r="H40" s="35"/>
      <c r="I40" s="35"/>
      <c r="J40" s="35"/>
      <c r="K40" s="36">
        <f>K38+K39</f>
        <v>14500</v>
      </c>
      <c r="L40" s="35"/>
    </row>
    <row r="41" spans="1:12" ht="21" customHeight="1">
      <c r="A41" s="37" t="s">
        <v>58</v>
      </c>
      <c r="B41" s="37" t="s">
        <v>30</v>
      </c>
      <c r="C41" s="37" t="s">
        <v>30</v>
      </c>
      <c r="D41" s="37" t="s">
        <v>30</v>
      </c>
      <c r="E41" s="37" t="s">
        <v>30</v>
      </c>
      <c r="F41" s="37" t="s">
        <v>30</v>
      </c>
      <c r="G41" s="37" t="s">
        <v>30</v>
      </c>
      <c r="H41" s="37" t="s">
        <v>30</v>
      </c>
      <c r="I41" s="37" t="s">
        <v>30</v>
      </c>
      <c r="J41" s="37" t="s">
        <v>30</v>
      </c>
      <c r="K41" s="37" t="s">
        <v>30</v>
      </c>
      <c r="L41" s="37" t="s">
        <v>30</v>
      </c>
    </row>
    <row r="42" spans="1:12" ht="21" customHeight="1">
      <c r="A42" s="38" t="s">
        <v>59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ht="21" customHeight="1">
      <c r="A43" s="37" t="s">
        <v>60</v>
      </c>
      <c r="B43" s="37" t="s">
        <v>30</v>
      </c>
      <c r="C43" s="37" t="s">
        <v>30</v>
      </c>
      <c r="D43" s="37" t="s">
        <v>30</v>
      </c>
      <c r="E43" s="37" t="s">
        <v>30</v>
      </c>
      <c r="F43" s="37" t="s">
        <v>30</v>
      </c>
      <c r="G43" s="37" t="s">
        <v>30</v>
      </c>
      <c r="H43" s="37" t="s">
        <v>30</v>
      </c>
      <c r="I43" s="37" t="s">
        <v>30</v>
      </c>
      <c r="J43" s="37" t="s">
        <v>30</v>
      </c>
      <c r="K43" s="37" t="s">
        <v>30</v>
      </c>
      <c r="L43" s="37" t="s">
        <v>30</v>
      </c>
    </row>
    <row r="44" spans="1:12" ht="40.200000000000003" customHeight="1">
      <c r="A44" s="41" t="s">
        <v>61</v>
      </c>
      <c r="B44" s="39"/>
      <c r="C44" s="39"/>
      <c r="D44" s="42"/>
      <c r="E44" s="42"/>
      <c r="F44" s="42"/>
      <c r="G44" s="42"/>
      <c r="H44" s="42"/>
      <c r="I44" s="42"/>
      <c r="J44" s="42"/>
      <c r="K44" s="42"/>
      <c r="L44" s="43"/>
    </row>
    <row r="45" spans="1:12" ht="29.4" customHeight="1">
      <c r="A45" s="44" t="s">
        <v>62</v>
      </c>
      <c r="B45" s="45"/>
      <c r="C45" s="45"/>
      <c r="D45" s="46"/>
      <c r="E45" s="45" t="s">
        <v>63</v>
      </c>
      <c r="F45" s="45"/>
      <c r="G45" s="45"/>
      <c r="H45" s="47"/>
      <c r="I45" s="44" t="s">
        <v>64</v>
      </c>
      <c r="J45" s="45"/>
      <c r="K45" s="45"/>
      <c r="L45" s="47"/>
    </row>
    <row r="46" spans="1:12" ht="43.8" customHeight="1">
      <c r="A46" s="30" t="s">
        <v>65</v>
      </c>
      <c r="B46" s="31"/>
      <c r="C46" s="31"/>
      <c r="D46" s="32"/>
      <c r="E46" s="33" t="s">
        <v>65</v>
      </c>
      <c r="F46" s="31"/>
      <c r="G46" s="31"/>
      <c r="H46" s="32"/>
      <c r="I46" s="33" t="s">
        <v>65</v>
      </c>
      <c r="J46" s="31"/>
      <c r="K46" s="31"/>
      <c r="L46" s="34"/>
    </row>
    <row r="47" spans="1:12" ht="21" customHeight="1">
      <c r="A47" s="17" t="s">
        <v>66</v>
      </c>
      <c r="B47" s="18"/>
      <c r="C47" s="18"/>
      <c r="D47" s="19"/>
      <c r="E47" s="20" t="s">
        <v>66</v>
      </c>
      <c r="F47" s="18"/>
      <c r="G47" s="18"/>
      <c r="H47" s="19"/>
      <c r="I47" s="21" t="s">
        <v>67</v>
      </c>
      <c r="J47" s="22"/>
      <c r="K47" s="22"/>
      <c r="L47" s="23"/>
    </row>
    <row r="48" spans="1:12" ht="21" customHeight="1">
      <c r="A48" s="5" t="s">
        <v>68</v>
      </c>
      <c r="B48" s="6"/>
      <c r="C48" s="6"/>
      <c r="D48" s="7"/>
      <c r="E48" s="24" t="s">
        <v>68</v>
      </c>
      <c r="F48" s="25"/>
      <c r="G48" s="25"/>
      <c r="H48" s="26"/>
      <c r="I48" s="24" t="s">
        <v>69</v>
      </c>
      <c r="J48" s="25"/>
      <c r="K48" s="25"/>
      <c r="L48" s="27"/>
    </row>
    <row r="49" spans="1:12" ht="21" customHeight="1">
      <c r="A49" s="28" t="s">
        <v>70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1:12" ht="4.9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ht="4.9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ht="21" customHeight="1">
      <c r="A52" s="16" t="s">
        <v>71</v>
      </c>
      <c r="B52" s="16" t="s">
        <v>71</v>
      </c>
      <c r="C52" s="16" t="s">
        <v>71</v>
      </c>
      <c r="D52" s="16" t="s">
        <v>71</v>
      </c>
      <c r="E52" s="16" t="s">
        <v>71</v>
      </c>
      <c r="F52" s="16" t="s">
        <v>71</v>
      </c>
      <c r="G52" s="16" t="s">
        <v>71</v>
      </c>
      <c r="H52" s="16" t="s">
        <v>71</v>
      </c>
      <c r="I52" s="16" t="s">
        <v>71</v>
      </c>
      <c r="J52" s="16" t="s">
        <v>71</v>
      </c>
      <c r="K52" s="16" t="s">
        <v>71</v>
      </c>
      <c r="L52" s="16" t="s">
        <v>71</v>
      </c>
    </row>
    <row r="53" spans="1:12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118">
    <mergeCell ref="I12:J12"/>
    <mergeCell ref="K12:L12"/>
    <mergeCell ref="B37:D37"/>
    <mergeCell ref="E37:H37"/>
    <mergeCell ref="I37:J37"/>
    <mergeCell ref="K37:L37"/>
    <mergeCell ref="I35:J35"/>
    <mergeCell ref="K35:L35"/>
    <mergeCell ref="B36:D36"/>
    <mergeCell ref="E36:H36"/>
    <mergeCell ref="I36:J36"/>
    <mergeCell ref="K36:L36"/>
    <mergeCell ref="A19:C19"/>
    <mergeCell ref="D19:L19"/>
    <mergeCell ref="A20:L20"/>
    <mergeCell ref="A7:L7"/>
    <mergeCell ref="A1:F3"/>
    <mergeCell ref="G1:H1"/>
    <mergeCell ref="I1:L1"/>
    <mergeCell ref="G2:H2"/>
    <mergeCell ref="I2:L2"/>
    <mergeCell ref="G3:H3"/>
    <mergeCell ref="I3:L3"/>
    <mergeCell ref="A4:F4"/>
    <mergeCell ref="G4:H4"/>
    <mergeCell ref="I4:L4"/>
    <mergeCell ref="A5:L5"/>
    <mergeCell ref="A6:L6"/>
    <mergeCell ref="D16:L16"/>
    <mergeCell ref="A17:C17"/>
    <mergeCell ref="D17:L17"/>
    <mergeCell ref="A18:C18"/>
    <mergeCell ref="D18:L18"/>
    <mergeCell ref="A24:C24"/>
    <mergeCell ref="D24:L24"/>
    <mergeCell ref="A25:C25"/>
    <mergeCell ref="D25:L25"/>
    <mergeCell ref="A8:L8"/>
    <mergeCell ref="A10:H11"/>
    <mergeCell ref="I10:J10"/>
    <mergeCell ref="K10:L10"/>
    <mergeCell ref="I11:J11"/>
    <mergeCell ref="K11:L11"/>
    <mergeCell ref="A21:C21"/>
    <mergeCell ref="D21:L21"/>
    <mergeCell ref="A14:L14"/>
    <mergeCell ref="A15:C15"/>
    <mergeCell ref="D15:L15"/>
    <mergeCell ref="A16:C16"/>
    <mergeCell ref="A22:C22"/>
    <mergeCell ref="D22:G22"/>
    <mergeCell ref="H22:J22"/>
    <mergeCell ref="K22:L22"/>
    <mergeCell ref="A23:C23"/>
    <mergeCell ref="D23:L23"/>
    <mergeCell ref="J26:K26"/>
    <mergeCell ref="G26:H26"/>
    <mergeCell ref="D26:F26"/>
    <mergeCell ref="A26:C26"/>
    <mergeCell ref="B28:D28"/>
    <mergeCell ref="E28:H28"/>
    <mergeCell ref="I28:J28"/>
    <mergeCell ref="K28:L28"/>
    <mergeCell ref="B31:D31"/>
    <mergeCell ref="E31:H31"/>
    <mergeCell ref="I31:J31"/>
    <mergeCell ref="K31:L31"/>
    <mergeCell ref="B27:D27"/>
    <mergeCell ref="E27:H27"/>
    <mergeCell ref="I27:J27"/>
    <mergeCell ref="K27:L27"/>
    <mergeCell ref="B29:D29"/>
    <mergeCell ref="E29:H29"/>
    <mergeCell ref="I29:J29"/>
    <mergeCell ref="K29:L29"/>
    <mergeCell ref="B30:D30"/>
    <mergeCell ref="E30:H30"/>
    <mergeCell ref="I30:J30"/>
    <mergeCell ref="K30:L30"/>
    <mergeCell ref="B32:D32"/>
    <mergeCell ref="E32:H32"/>
    <mergeCell ref="I32:J32"/>
    <mergeCell ref="K32:L32"/>
    <mergeCell ref="F38:J38"/>
    <mergeCell ref="K38:L38"/>
    <mergeCell ref="B33:D33"/>
    <mergeCell ref="E33:H33"/>
    <mergeCell ref="I33:J33"/>
    <mergeCell ref="K33:L33"/>
    <mergeCell ref="B34:D34"/>
    <mergeCell ref="E34:H34"/>
    <mergeCell ref="I34:J34"/>
    <mergeCell ref="K34:L34"/>
    <mergeCell ref="B35:D35"/>
    <mergeCell ref="E35:H35"/>
    <mergeCell ref="A46:D46"/>
    <mergeCell ref="E46:H46"/>
    <mergeCell ref="I46:L46"/>
    <mergeCell ref="F39:J39"/>
    <mergeCell ref="K39:L39"/>
    <mergeCell ref="F40:J40"/>
    <mergeCell ref="K40:L40"/>
    <mergeCell ref="A41:L41"/>
    <mergeCell ref="A42:L42"/>
    <mergeCell ref="A43:L43"/>
    <mergeCell ref="A44:L44"/>
    <mergeCell ref="A45:D45"/>
    <mergeCell ref="E45:H45"/>
    <mergeCell ref="I45:L45"/>
    <mergeCell ref="A50:L50"/>
    <mergeCell ref="A51:L51"/>
    <mergeCell ref="A52:L52"/>
    <mergeCell ref="A47:D47"/>
    <mergeCell ref="E47:H47"/>
    <mergeCell ref="I47:L47"/>
    <mergeCell ref="E48:H48"/>
    <mergeCell ref="I48:L48"/>
    <mergeCell ref="A49:L49"/>
  </mergeCells>
  <phoneticPr fontId="21" type="noConversion"/>
  <conditionalFormatting sqref="D44">
    <cfRule type="expression" dxfId="1" priority="4">
      <formula>AND($L$26="Yes",$D$44="")</formula>
    </cfRule>
  </conditionalFormatting>
  <dataValidations count="6">
    <dataValidation type="list" sqref="H21:J22 K21:L21 D21:G21" xr:uid="{00000000-0002-0000-0000-000000000000}">
      <formula1>"Online Transfer,Cash,Cheque"</formula1>
    </dataValidation>
    <dataValidation type="list" sqref="D23:L23" xr:uid="{00000000-0002-0000-0000-000001000000}">
      <formula1>"Supplier,Staff Reimbursement,Staff Advance,Other"</formula1>
    </dataValidation>
    <dataValidation type="list" sqref="D24:L24" xr:uid="{00000000-0002-0000-0000-000002000000}">
      <formula1>"Recurring,Ad Hoc"</formula1>
    </dataValidation>
    <dataValidation type="list" sqref="D25:L25" xr:uid="{00000000-0002-0000-0000-000003000000}">
      <formula1>"Budgeted,Unbudgeted"</formula1>
    </dataValidation>
    <dataValidation type="list" allowBlank="1" showInputMessage="1" showErrorMessage="1" sqref="D19:L19" xr:uid="{00000000-0002-0000-0000-000004000000}">
      <formula1>"GP,KM,PM,TD,ALL BRANCH"</formula1>
    </dataValidation>
    <dataValidation type="list" sqref="K12:K13" xr:uid="{00000000-0002-0000-0000-000005000000}">
      <formula1>"PVT01,PVT02,PVT03,PVT04,PVT05,PVT06,PVT07,PVT08,PVT09"</formula1>
    </dataValidation>
  </dataValidations>
  <pageMargins left="0.7" right="0.7" top="0.75" bottom="0.75" header="0.3" footer="0.3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FC2A-7082-4F2A-B9C9-9221913D4FC5}">
  <sheetPr>
    <tabColor rgb="FFC00000"/>
  </sheetPr>
  <dimension ref="A1:L54"/>
  <sheetViews>
    <sheetView showGridLines="0" view="pageBreakPreview" zoomScale="90" zoomScaleNormal="100" zoomScaleSheetLayoutView="90" workbookViewId="0">
      <selection activeCell="P26" sqref="P26"/>
    </sheetView>
  </sheetViews>
  <sheetFormatPr defaultRowHeight="13.8"/>
  <cols>
    <col min="1" max="1" width="5" customWidth="1"/>
    <col min="2" max="11" width="9" customWidth="1"/>
    <col min="12" max="12" width="5.796875" customWidth="1"/>
  </cols>
  <sheetData>
    <row r="1" spans="1:12" ht="21" customHeight="1">
      <c r="A1" s="76"/>
      <c r="B1" s="76"/>
      <c r="C1" s="76"/>
      <c r="D1" s="76"/>
      <c r="E1" s="76"/>
      <c r="F1" s="76"/>
      <c r="G1" s="77" t="s">
        <v>0</v>
      </c>
      <c r="H1" s="77"/>
      <c r="I1" s="77" t="s">
        <v>1</v>
      </c>
      <c r="J1" s="77"/>
      <c r="K1" s="77"/>
      <c r="L1" s="77"/>
    </row>
    <row r="2" spans="1:12" ht="21" customHeight="1">
      <c r="A2" s="76"/>
      <c r="B2" s="76"/>
      <c r="C2" s="76"/>
      <c r="D2" s="76"/>
      <c r="E2" s="76"/>
      <c r="F2" s="76"/>
      <c r="G2" s="77" t="s">
        <v>2</v>
      </c>
      <c r="H2" s="77"/>
      <c r="I2" s="78" t="s">
        <v>3</v>
      </c>
      <c r="J2" s="78"/>
      <c r="K2" s="78"/>
      <c r="L2" s="78"/>
    </row>
    <row r="3" spans="1:12" ht="21" customHeight="1">
      <c r="A3" s="76"/>
      <c r="B3" s="76"/>
      <c r="C3" s="76"/>
      <c r="D3" s="76"/>
      <c r="E3" s="76"/>
      <c r="F3" s="76"/>
      <c r="G3" s="77" t="s">
        <v>4</v>
      </c>
      <c r="H3" s="77"/>
      <c r="I3" s="79" t="s">
        <v>5</v>
      </c>
      <c r="J3" s="79"/>
      <c r="K3" s="79"/>
      <c r="L3" s="79"/>
    </row>
    <row r="4" spans="1:12" ht="20.399999999999999" customHeight="1">
      <c r="A4" s="80" t="s">
        <v>6</v>
      </c>
      <c r="B4" s="80"/>
      <c r="C4" s="80"/>
      <c r="D4" s="80"/>
      <c r="E4" s="80"/>
      <c r="F4" s="80"/>
      <c r="G4" s="77" t="s">
        <v>7</v>
      </c>
      <c r="H4" s="77"/>
      <c r="I4" s="77" t="s">
        <v>8</v>
      </c>
      <c r="J4" s="77"/>
      <c r="K4" s="77"/>
      <c r="L4" s="77"/>
    </row>
    <row r="5" spans="1:12" ht="20.399999999999999" customHeight="1">
      <c r="A5" s="80" t="s">
        <v>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ht="12.6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</row>
    <row r="7" spans="1:12" ht="4.95" customHeight="1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</row>
    <row r="8" spans="1:12" ht="4.9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2.6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" customHeight="1">
      <c r="A10" s="72" t="s">
        <v>10</v>
      </c>
      <c r="B10" s="72" t="s">
        <v>10</v>
      </c>
      <c r="C10" s="72" t="s">
        <v>10</v>
      </c>
      <c r="D10" s="72" t="s">
        <v>10</v>
      </c>
      <c r="E10" s="72" t="s">
        <v>10</v>
      </c>
      <c r="F10" s="72" t="s">
        <v>10</v>
      </c>
      <c r="G10" s="72" t="s">
        <v>10</v>
      </c>
      <c r="H10" s="72" t="s">
        <v>10</v>
      </c>
      <c r="I10" s="85" t="s">
        <v>11</v>
      </c>
      <c r="J10" s="85" t="s">
        <v>12</v>
      </c>
      <c r="K10" s="82"/>
      <c r="L10" s="82"/>
    </row>
    <row r="11" spans="1:12" ht="21" customHeight="1">
      <c r="A11" s="72" t="s">
        <v>10</v>
      </c>
      <c r="B11" s="72" t="s">
        <v>10</v>
      </c>
      <c r="C11" s="72" t="s">
        <v>10</v>
      </c>
      <c r="D11" s="72" t="s">
        <v>10</v>
      </c>
      <c r="E11" s="72" t="s">
        <v>10</v>
      </c>
      <c r="F11" s="72" t="s">
        <v>10</v>
      </c>
      <c r="G11" s="72" t="s">
        <v>10</v>
      </c>
      <c r="H11" s="72" t="s">
        <v>10</v>
      </c>
      <c r="I11" s="85" t="s">
        <v>14</v>
      </c>
      <c r="J11" s="85" t="s">
        <v>15</v>
      </c>
      <c r="K11" s="83"/>
      <c r="L11" s="83"/>
    </row>
    <row r="12" spans="1:12" ht="24" customHeight="1">
      <c r="A12" s="2"/>
      <c r="B12" s="2"/>
      <c r="C12" s="2"/>
      <c r="D12" s="2"/>
      <c r="E12" s="2"/>
      <c r="F12" s="2"/>
      <c r="G12" s="2"/>
      <c r="H12" s="2"/>
      <c r="I12" s="85" t="s">
        <v>117</v>
      </c>
      <c r="J12" s="85" t="s">
        <v>15</v>
      </c>
      <c r="K12" s="84"/>
      <c r="L12" s="84"/>
    </row>
    <row r="13" spans="1:12" s="89" customFormat="1" ht="10.8" customHeight="1">
      <c r="A13" s="87"/>
      <c r="B13" s="87"/>
      <c r="C13" s="87"/>
      <c r="D13" s="87"/>
      <c r="E13" s="87"/>
      <c r="F13" s="87"/>
      <c r="G13" s="87"/>
      <c r="H13" s="87"/>
      <c r="I13" s="88"/>
      <c r="J13" s="88"/>
      <c r="K13" s="86"/>
      <c r="L13" s="86"/>
    </row>
    <row r="14" spans="1:12" ht="17.399999999999999" customHeight="1">
      <c r="A14" s="37" t="s">
        <v>17</v>
      </c>
      <c r="B14" s="37" t="s">
        <v>17</v>
      </c>
      <c r="C14" s="37" t="s">
        <v>17</v>
      </c>
      <c r="D14" s="37" t="s">
        <v>17</v>
      </c>
      <c r="E14" s="37" t="s">
        <v>17</v>
      </c>
      <c r="F14" s="37" t="s">
        <v>17</v>
      </c>
      <c r="G14" s="37" t="s">
        <v>17</v>
      </c>
      <c r="H14" s="37" t="s">
        <v>17</v>
      </c>
      <c r="I14" s="37" t="s">
        <v>17</v>
      </c>
      <c r="J14" s="37" t="s">
        <v>17</v>
      </c>
      <c r="K14" s="37" t="s">
        <v>17</v>
      </c>
      <c r="L14" s="37" t="s">
        <v>17</v>
      </c>
    </row>
    <row r="15" spans="1:12" ht="17.399999999999999" customHeight="1">
      <c r="A15" s="73" t="s">
        <v>18</v>
      </c>
      <c r="B15" s="73" t="s">
        <v>18</v>
      </c>
      <c r="C15" s="73" t="s">
        <v>18</v>
      </c>
      <c r="D15" s="69"/>
      <c r="E15" s="69"/>
      <c r="F15" s="69"/>
      <c r="G15" s="69"/>
      <c r="H15" s="69"/>
      <c r="I15" s="69"/>
      <c r="J15" s="69"/>
      <c r="K15" s="69"/>
      <c r="L15" s="69"/>
    </row>
    <row r="16" spans="1:12" ht="25.8" customHeight="1">
      <c r="A16" s="73" t="s">
        <v>20</v>
      </c>
      <c r="B16" s="73" t="s">
        <v>21</v>
      </c>
      <c r="C16" s="73" t="s">
        <v>21</v>
      </c>
      <c r="D16" s="69"/>
      <c r="E16" s="69"/>
      <c r="F16" s="69"/>
      <c r="G16" s="69"/>
      <c r="H16" s="69"/>
      <c r="I16" s="69"/>
      <c r="J16" s="69"/>
      <c r="K16" s="69"/>
      <c r="L16" s="69"/>
    </row>
    <row r="17" spans="1:12" ht="17.399999999999999" customHeight="1">
      <c r="A17" s="73" t="s">
        <v>23</v>
      </c>
      <c r="B17" s="73" t="s">
        <v>23</v>
      </c>
      <c r="C17" s="73" t="s">
        <v>23</v>
      </c>
      <c r="D17" s="69"/>
      <c r="E17" s="69"/>
      <c r="F17" s="69"/>
      <c r="G17" s="69"/>
      <c r="H17" s="69"/>
      <c r="I17" s="69"/>
      <c r="J17" s="69"/>
      <c r="K17" s="69"/>
      <c r="L17" s="69"/>
    </row>
    <row r="18" spans="1:12" ht="17.399999999999999" customHeight="1">
      <c r="A18" s="73" t="s">
        <v>25</v>
      </c>
      <c r="B18" s="73" t="s">
        <v>25</v>
      </c>
      <c r="C18" s="73" t="s">
        <v>25</v>
      </c>
      <c r="D18" s="74"/>
      <c r="E18" s="69"/>
      <c r="F18" s="69"/>
      <c r="G18" s="69"/>
      <c r="H18" s="69"/>
      <c r="I18" s="69"/>
      <c r="J18" s="69"/>
      <c r="K18" s="69"/>
      <c r="L18" s="69"/>
    </row>
    <row r="19" spans="1:12" ht="17.399999999999999" customHeight="1">
      <c r="A19" s="73" t="s">
        <v>27</v>
      </c>
      <c r="B19" s="73" t="s">
        <v>28</v>
      </c>
      <c r="C19" s="73" t="s">
        <v>28</v>
      </c>
      <c r="D19" s="69"/>
      <c r="E19" s="69"/>
      <c r="F19" s="69"/>
      <c r="G19" s="69"/>
      <c r="H19" s="69"/>
      <c r="I19" s="69"/>
      <c r="J19" s="69"/>
      <c r="K19" s="69"/>
      <c r="L19" s="69"/>
    </row>
    <row r="20" spans="1:12" ht="22.95" customHeight="1">
      <c r="A20" s="37" t="s">
        <v>30</v>
      </c>
      <c r="B20" s="37" t="s">
        <v>30</v>
      </c>
      <c r="C20" s="37" t="s">
        <v>30</v>
      </c>
      <c r="D20" s="37" t="s">
        <v>30</v>
      </c>
      <c r="E20" s="37" t="s">
        <v>30</v>
      </c>
      <c r="F20" s="37" t="s">
        <v>30</v>
      </c>
      <c r="G20" s="37" t="s">
        <v>30</v>
      </c>
      <c r="H20" s="37" t="s">
        <v>30</v>
      </c>
      <c r="I20" s="37" t="s">
        <v>30</v>
      </c>
      <c r="J20" s="37" t="s">
        <v>30</v>
      </c>
      <c r="K20" s="37" t="s">
        <v>30</v>
      </c>
      <c r="L20" s="37" t="s">
        <v>30</v>
      </c>
    </row>
    <row r="21" spans="1:12" ht="19.8" customHeight="1">
      <c r="A21" s="70" t="s">
        <v>31</v>
      </c>
      <c r="B21" s="70" t="s">
        <v>31</v>
      </c>
      <c r="C21" s="71" t="s">
        <v>31</v>
      </c>
      <c r="D21" s="69"/>
      <c r="E21" s="69"/>
      <c r="F21" s="69"/>
      <c r="G21" s="69"/>
      <c r="H21" s="69"/>
      <c r="I21" s="69"/>
      <c r="J21" s="69"/>
      <c r="K21" s="69"/>
      <c r="L21" s="69"/>
    </row>
    <row r="22" spans="1:12" ht="25.8" customHeight="1">
      <c r="A22" s="65" t="s">
        <v>33</v>
      </c>
      <c r="B22" s="65" t="s">
        <v>34</v>
      </c>
      <c r="C22" s="66" t="s">
        <v>34</v>
      </c>
      <c r="D22" s="67"/>
      <c r="E22" s="67"/>
      <c r="F22" s="67"/>
      <c r="G22" s="67"/>
      <c r="H22" s="68" t="s">
        <v>35</v>
      </c>
      <c r="I22" s="68" t="s">
        <v>36</v>
      </c>
      <c r="J22" s="68" t="s">
        <v>36</v>
      </c>
      <c r="K22" s="69"/>
      <c r="L22" s="69"/>
    </row>
    <row r="23" spans="1:12" ht="19.8" customHeight="1">
      <c r="A23" s="70" t="s">
        <v>37</v>
      </c>
      <c r="B23" s="70" t="s">
        <v>37</v>
      </c>
      <c r="C23" s="71" t="s">
        <v>37</v>
      </c>
      <c r="D23" s="69"/>
      <c r="E23" s="69"/>
      <c r="F23" s="69"/>
      <c r="G23" s="69"/>
      <c r="H23" s="69"/>
      <c r="I23" s="69"/>
      <c r="J23" s="69"/>
      <c r="K23" s="69"/>
      <c r="L23" s="69"/>
    </row>
    <row r="24" spans="1:12" ht="19.8" customHeight="1">
      <c r="A24" s="70" t="s">
        <v>39</v>
      </c>
      <c r="B24" s="70" t="s">
        <v>39</v>
      </c>
      <c r="C24" s="71" t="s">
        <v>39</v>
      </c>
      <c r="D24" s="69"/>
      <c r="E24" s="69"/>
      <c r="F24" s="69"/>
      <c r="G24" s="69"/>
      <c r="H24" s="69"/>
      <c r="I24" s="69"/>
      <c r="J24" s="69"/>
      <c r="K24" s="69"/>
      <c r="L24" s="69"/>
    </row>
    <row r="25" spans="1:12" ht="19.8" customHeight="1">
      <c r="A25" s="70" t="s">
        <v>41</v>
      </c>
      <c r="B25" s="70" t="s">
        <v>41</v>
      </c>
      <c r="C25" s="71" t="s">
        <v>41</v>
      </c>
      <c r="D25" s="69"/>
      <c r="E25" s="69"/>
      <c r="F25" s="69"/>
      <c r="G25" s="69"/>
      <c r="H25" s="69"/>
      <c r="I25" s="69"/>
      <c r="J25" s="69"/>
      <c r="K25" s="69"/>
      <c r="L25" s="69"/>
    </row>
    <row r="26" spans="1:12" ht="30.6" customHeight="1">
      <c r="A26" s="61" t="s">
        <v>43</v>
      </c>
      <c r="B26" s="61"/>
      <c r="C26" s="62"/>
      <c r="D26" s="60" t="str">
        <f>IF(K12="","",IFERROR(VLOOKUP("T"&amp;RIGHT(K12,2),'PV Approval Matrix'!$A$2:$H$10,8,FALSE),""))</f>
        <v/>
      </c>
      <c r="E26" s="60"/>
      <c r="F26" s="60"/>
      <c r="G26" s="59" t="s">
        <v>44</v>
      </c>
      <c r="H26" s="59"/>
      <c r="I26" s="8" t="str">
        <f>IF(D26="","",IFERROR(VLOOKUP(LEFT(D26,3),'PV Approval Matrix'!$A$2:$E$10,4,FALSE),""))</f>
        <v/>
      </c>
      <c r="J26" s="59" t="s">
        <v>45</v>
      </c>
      <c r="K26" s="59"/>
      <c r="L26" s="8" t="str">
        <f>IF(D26="","",IFERROR(VLOOKUP(LEFT(D26,3),'PV Approval Matrix'!$A$2:$E$10,5,FALSE),""))</f>
        <v/>
      </c>
    </row>
    <row r="27" spans="1:12" ht="30" customHeight="1">
      <c r="A27" s="4" t="s">
        <v>46</v>
      </c>
      <c r="B27" s="57" t="s">
        <v>47</v>
      </c>
      <c r="C27" s="57" t="s">
        <v>48</v>
      </c>
      <c r="D27" s="57" t="s">
        <v>48</v>
      </c>
      <c r="E27" s="57" t="s">
        <v>49</v>
      </c>
      <c r="F27" s="57" t="s">
        <v>49</v>
      </c>
      <c r="G27" s="57" t="s">
        <v>49</v>
      </c>
      <c r="H27" s="57" t="s">
        <v>49</v>
      </c>
      <c r="I27" s="57" t="s">
        <v>50</v>
      </c>
      <c r="J27" s="57" t="s">
        <v>51</v>
      </c>
      <c r="K27" s="58" t="s">
        <v>52</v>
      </c>
      <c r="L27" s="58"/>
    </row>
    <row r="28" spans="1:12" ht="19.8" customHeight="1">
      <c r="A28" s="3">
        <v>1</v>
      </c>
      <c r="B28" s="48"/>
      <c r="C28" s="49"/>
      <c r="D28" s="50"/>
      <c r="E28" s="51"/>
      <c r="F28" s="52"/>
      <c r="G28" s="52"/>
      <c r="H28" s="53"/>
      <c r="I28" s="63"/>
      <c r="J28" s="64"/>
      <c r="K28" s="54"/>
      <c r="L28" s="55"/>
    </row>
    <row r="29" spans="1:12" ht="19.8" customHeight="1">
      <c r="A29" s="3">
        <v>2</v>
      </c>
      <c r="B29" s="48"/>
      <c r="C29" s="49"/>
      <c r="D29" s="50"/>
      <c r="E29" s="51"/>
      <c r="F29" s="52"/>
      <c r="G29" s="52"/>
      <c r="H29" s="53"/>
      <c r="I29" s="63"/>
      <c r="J29" s="64"/>
      <c r="K29" s="54"/>
      <c r="L29" s="55"/>
    </row>
    <row r="30" spans="1:12" ht="19.8" customHeight="1">
      <c r="A30" s="3">
        <v>3</v>
      </c>
      <c r="B30" s="48"/>
      <c r="C30" s="49"/>
      <c r="D30" s="50"/>
      <c r="E30" s="51"/>
      <c r="F30" s="52"/>
      <c r="G30" s="52"/>
      <c r="H30" s="53"/>
      <c r="I30" s="51"/>
      <c r="J30" s="53"/>
      <c r="K30" s="54"/>
      <c r="L30" s="55"/>
    </row>
    <row r="31" spans="1:12" ht="19.8" customHeight="1">
      <c r="A31" s="3">
        <v>4</v>
      </c>
      <c r="B31" s="48"/>
      <c r="C31" s="49"/>
      <c r="D31" s="50"/>
      <c r="E31" s="51"/>
      <c r="F31" s="52"/>
      <c r="G31" s="52"/>
      <c r="H31" s="53"/>
      <c r="I31" s="51"/>
      <c r="J31" s="53"/>
      <c r="K31" s="54"/>
      <c r="L31" s="55"/>
    </row>
    <row r="32" spans="1:12" ht="19.8" customHeight="1">
      <c r="A32" s="3">
        <v>5</v>
      </c>
      <c r="B32" s="48"/>
      <c r="C32" s="49"/>
      <c r="D32" s="50"/>
      <c r="E32" s="51"/>
      <c r="F32" s="52"/>
      <c r="G32" s="52"/>
      <c r="H32" s="53"/>
      <c r="I32" s="51"/>
      <c r="J32" s="53"/>
      <c r="K32" s="54"/>
      <c r="L32" s="55"/>
    </row>
    <row r="33" spans="1:12" ht="19.8" customHeight="1">
      <c r="A33" s="3">
        <v>6</v>
      </c>
      <c r="B33" s="48"/>
      <c r="C33" s="49"/>
      <c r="D33" s="50"/>
      <c r="E33" s="51"/>
      <c r="F33" s="52"/>
      <c r="G33" s="52"/>
      <c r="H33" s="53"/>
      <c r="I33" s="51"/>
      <c r="J33" s="53"/>
      <c r="K33" s="54"/>
      <c r="L33" s="55"/>
    </row>
    <row r="34" spans="1:12" ht="19.8" customHeight="1">
      <c r="A34" s="3">
        <v>7</v>
      </c>
      <c r="B34" s="48"/>
      <c r="C34" s="49"/>
      <c r="D34" s="50"/>
      <c r="E34" s="51"/>
      <c r="F34" s="52"/>
      <c r="G34" s="52"/>
      <c r="H34" s="53"/>
      <c r="I34" s="51"/>
      <c r="J34" s="53"/>
      <c r="K34" s="54"/>
      <c r="L34" s="55"/>
    </row>
    <row r="35" spans="1:12" ht="19.8" customHeight="1">
      <c r="A35" s="3">
        <v>8</v>
      </c>
      <c r="B35" s="48"/>
      <c r="C35" s="49"/>
      <c r="D35" s="50"/>
      <c r="E35" s="51"/>
      <c r="F35" s="52"/>
      <c r="G35" s="52"/>
      <c r="H35" s="53"/>
      <c r="I35" s="51"/>
      <c r="J35" s="53"/>
      <c r="K35" s="54"/>
      <c r="L35" s="55"/>
    </row>
    <row r="36" spans="1:12" ht="19.8" customHeight="1">
      <c r="A36" s="3">
        <v>9</v>
      </c>
      <c r="B36" s="48"/>
      <c r="C36" s="49"/>
      <c r="D36" s="50"/>
      <c r="E36" s="51"/>
      <c r="F36" s="52"/>
      <c r="G36" s="52"/>
      <c r="H36" s="53"/>
      <c r="I36" s="51"/>
      <c r="J36" s="53"/>
      <c r="K36" s="54"/>
      <c r="L36" s="55"/>
    </row>
    <row r="37" spans="1:12" ht="19.8" customHeight="1">
      <c r="A37" s="3">
        <v>10</v>
      </c>
      <c r="B37" s="48"/>
      <c r="C37" s="49"/>
      <c r="D37" s="50"/>
      <c r="E37" s="51"/>
      <c r="F37" s="52"/>
      <c r="G37" s="52"/>
      <c r="H37" s="53"/>
      <c r="I37" s="51"/>
      <c r="J37" s="53"/>
      <c r="K37" s="54"/>
      <c r="L37" s="55"/>
    </row>
    <row r="38" spans="1:12" ht="21" customHeight="1">
      <c r="A38" s="2"/>
      <c r="B38" s="2"/>
      <c r="C38" s="2"/>
      <c r="D38" s="2"/>
      <c r="E38" s="2"/>
      <c r="F38" s="56" t="s">
        <v>55</v>
      </c>
      <c r="G38" s="56"/>
      <c r="H38" s="56"/>
      <c r="I38" s="56"/>
      <c r="J38" s="56"/>
      <c r="K38" s="36">
        <f>SUM(K28:L37)</f>
        <v>0</v>
      </c>
      <c r="L38" s="35"/>
    </row>
    <row r="39" spans="1:12" ht="21" customHeight="1">
      <c r="A39" s="2"/>
      <c r="B39" s="2"/>
      <c r="C39" s="2"/>
      <c r="D39" s="2"/>
      <c r="E39" s="2"/>
      <c r="F39" s="35" t="s">
        <v>56</v>
      </c>
      <c r="G39" s="35"/>
      <c r="H39" s="35"/>
      <c r="I39" s="35"/>
      <c r="J39" s="35"/>
      <c r="K39" s="36">
        <v>0</v>
      </c>
      <c r="L39" s="35"/>
    </row>
    <row r="40" spans="1:12" ht="21" customHeight="1">
      <c r="A40" s="2"/>
      <c r="B40" s="2"/>
      <c r="C40" s="2"/>
      <c r="D40" s="2"/>
      <c r="E40" s="2"/>
      <c r="F40" s="35" t="s">
        <v>57</v>
      </c>
      <c r="G40" s="35"/>
      <c r="H40" s="35"/>
      <c r="I40" s="35"/>
      <c r="J40" s="35"/>
      <c r="K40" s="36">
        <f>K38+K39</f>
        <v>0</v>
      </c>
      <c r="L40" s="35"/>
    </row>
    <row r="41" spans="1:12" ht="21" customHeight="1">
      <c r="A41" s="37" t="s">
        <v>58</v>
      </c>
      <c r="B41" s="37" t="s">
        <v>30</v>
      </c>
      <c r="C41" s="37" t="s">
        <v>30</v>
      </c>
      <c r="D41" s="37" t="s">
        <v>30</v>
      </c>
      <c r="E41" s="37" t="s">
        <v>30</v>
      </c>
      <c r="F41" s="37" t="s">
        <v>30</v>
      </c>
      <c r="G41" s="37" t="s">
        <v>30</v>
      </c>
      <c r="H41" s="37" t="s">
        <v>30</v>
      </c>
      <c r="I41" s="37" t="s">
        <v>30</v>
      </c>
      <c r="J41" s="37" t="s">
        <v>30</v>
      </c>
      <c r="K41" s="37" t="s">
        <v>30</v>
      </c>
      <c r="L41" s="37" t="s">
        <v>30</v>
      </c>
    </row>
    <row r="42" spans="1:12" ht="21" customHeight="1">
      <c r="A42" s="38" t="s">
        <v>59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ht="21" customHeight="1">
      <c r="A43" s="37" t="s">
        <v>60</v>
      </c>
      <c r="B43" s="37" t="s">
        <v>30</v>
      </c>
      <c r="C43" s="37" t="s">
        <v>30</v>
      </c>
      <c r="D43" s="37" t="s">
        <v>30</v>
      </c>
      <c r="E43" s="37" t="s">
        <v>30</v>
      </c>
      <c r="F43" s="37" t="s">
        <v>30</v>
      </c>
      <c r="G43" s="37" t="s">
        <v>30</v>
      </c>
      <c r="H43" s="37" t="s">
        <v>30</v>
      </c>
      <c r="I43" s="37" t="s">
        <v>30</v>
      </c>
      <c r="J43" s="37" t="s">
        <v>30</v>
      </c>
      <c r="K43" s="37" t="s">
        <v>30</v>
      </c>
      <c r="L43" s="37" t="s">
        <v>30</v>
      </c>
    </row>
    <row r="44" spans="1:12" ht="40.200000000000003" customHeight="1">
      <c r="A44" s="41" t="s">
        <v>61</v>
      </c>
      <c r="B44" s="39"/>
      <c r="C44" s="39"/>
      <c r="D44" s="42"/>
      <c r="E44" s="42"/>
      <c r="F44" s="42"/>
      <c r="G44" s="42"/>
      <c r="H44" s="42"/>
      <c r="I44" s="42"/>
      <c r="J44" s="42"/>
      <c r="K44" s="42"/>
      <c r="L44" s="43"/>
    </row>
    <row r="45" spans="1:12" ht="29.4" customHeight="1">
      <c r="A45" s="44" t="s">
        <v>62</v>
      </c>
      <c r="B45" s="45"/>
      <c r="C45" s="45"/>
      <c r="D45" s="46"/>
      <c r="E45" s="45" t="s">
        <v>63</v>
      </c>
      <c r="F45" s="45"/>
      <c r="G45" s="45"/>
      <c r="H45" s="47"/>
      <c r="I45" s="44" t="s">
        <v>64</v>
      </c>
      <c r="J45" s="45"/>
      <c r="K45" s="45"/>
      <c r="L45" s="47"/>
    </row>
    <row r="46" spans="1:12" ht="43.8" customHeight="1">
      <c r="A46" s="30" t="s">
        <v>65</v>
      </c>
      <c r="B46" s="31"/>
      <c r="C46" s="31"/>
      <c r="D46" s="32"/>
      <c r="E46" s="33" t="s">
        <v>65</v>
      </c>
      <c r="F46" s="31"/>
      <c r="G46" s="31"/>
      <c r="H46" s="32"/>
      <c r="I46" s="33" t="s">
        <v>65</v>
      </c>
      <c r="J46" s="31"/>
      <c r="K46" s="31"/>
      <c r="L46" s="34"/>
    </row>
    <row r="47" spans="1:12" ht="21" customHeight="1">
      <c r="A47" s="17" t="s">
        <v>66</v>
      </c>
      <c r="B47" s="18"/>
      <c r="C47" s="18"/>
      <c r="D47" s="19"/>
      <c r="E47" s="20" t="s">
        <v>66</v>
      </c>
      <c r="F47" s="18"/>
      <c r="G47" s="18"/>
      <c r="H47" s="19"/>
      <c r="I47" s="21" t="s">
        <v>67</v>
      </c>
      <c r="J47" s="22"/>
      <c r="K47" s="22"/>
      <c r="L47" s="23"/>
    </row>
    <row r="48" spans="1:12" ht="21" customHeight="1">
      <c r="A48" s="5" t="s">
        <v>68</v>
      </c>
      <c r="B48" s="6"/>
      <c r="C48" s="6"/>
      <c r="D48" s="7"/>
      <c r="E48" s="24" t="s">
        <v>68</v>
      </c>
      <c r="F48" s="25"/>
      <c r="G48" s="25"/>
      <c r="H48" s="26"/>
      <c r="I48" s="24" t="s">
        <v>69</v>
      </c>
      <c r="J48" s="25"/>
      <c r="K48" s="25"/>
      <c r="L48" s="27"/>
    </row>
    <row r="49" spans="1:12" ht="21" customHeight="1">
      <c r="A49" s="28" t="s">
        <v>70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1:12" ht="4.9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ht="4.9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ht="21" customHeight="1">
      <c r="A52" s="16" t="s">
        <v>71</v>
      </c>
      <c r="B52" s="16" t="s">
        <v>71</v>
      </c>
      <c r="C52" s="16" t="s">
        <v>71</v>
      </c>
      <c r="D52" s="16" t="s">
        <v>71</v>
      </c>
      <c r="E52" s="16" t="s">
        <v>71</v>
      </c>
      <c r="F52" s="16" t="s">
        <v>71</v>
      </c>
      <c r="G52" s="16" t="s">
        <v>71</v>
      </c>
      <c r="H52" s="16" t="s">
        <v>71</v>
      </c>
      <c r="I52" s="16" t="s">
        <v>71</v>
      </c>
      <c r="J52" s="16" t="s">
        <v>71</v>
      </c>
      <c r="K52" s="16" t="s">
        <v>71</v>
      </c>
      <c r="L52" s="16" t="s">
        <v>71</v>
      </c>
    </row>
    <row r="53" spans="1:12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118">
    <mergeCell ref="E48:H48"/>
    <mergeCell ref="I48:L48"/>
    <mergeCell ref="A49:L49"/>
    <mergeCell ref="A50:L50"/>
    <mergeCell ref="A51:L51"/>
    <mergeCell ref="A52:L52"/>
    <mergeCell ref="A46:D46"/>
    <mergeCell ref="E46:H46"/>
    <mergeCell ref="I46:L46"/>
    <mergeCell ref="A47:D47"/>
    <mergeCell ref="E47:H47"/>
    <mergeCell ref="I47:L47"/>
    <mergeCell ref="A41:L41"/>
    <mergeCell ref="A42:L42"/>
    <mergeCell ref="A43:L43"/>
    <mergeCell ref="A44:L44"/>
    <mergeCell ref="A45:D45"/>
    <mergeCell ref="E45:H45"/>
    <mergeCell ref="I45:L45"/>
    <mergeCell ref="F38:J38"/>
    <mergeCell ref="K38:L38"/>
    <mergeCell ref="F39:J39"/>
    <mergeCell ref="K39:L39"/>
    <mergeCell ref="F40:J40"/>
    <mergeCell ref="K40:L40"/>
    <mergeCell ref="B36:D36"/>
    <mergeCell ref="E36:H36"/>
    <mergeCell ref="I36:J36"/>
    <mergeCell ref="K36:L36"/>
    <mergeCell ref="B37:D37"/>
    <mergeCell ref="E37:H37"/>
    <mergeCell ref="I37:J37"/>
    <mergeCell ref="K37:L37"/>
    <mergeCell ref="B34:D34"/>
    <mergeCell ref="E34:H34"/>
    <mergeCell ref="I34:J34"/>
    <mergeCell ref="K34:L34"/>
    <mergeCell ref="B35:D35"/>
    <mergeCell ref="E35:H35"/>
    <mergeCell ref="I35:J35"/>
    <mergeCell ref="K35:L35"/>
    <mergeCell ref="B32:D32"/>
    <mergeCell ref="E32:H32"/>
    <mergeCell ref="I32:J32"/>
    <mergeCell ref="K32:L32"/>
    <mergeCell ref="B33:D33"/>
    <mergeCell ref="E33:H33"/>
    <mergeCell ref="I33:J33"/>
    <mergeCell ref="K33:L33"/>
    <mergeCell ref="B30:D30"/>
    <mergeCell ref="E30:H30"/>
    <mergeCell ref="I30:J30"/>
    <mergeCell ref="K30:L30"/>
    <mergeCell ref="B31:D31"/>
    <mergeCell ref="E31:H31"/>
    <mergeCell ref="I31:J31"/>
    <mergeCell ref="K31:L31"/>
    <mergeCell ref="B28:D28"/>
    <mergeCell ref="E28:H28"/>
    <mergeCell ref="I28:J28"/>
    <mergeCell ref="K28:L28"/>
    <mergeCell ref="B29:D29"/>
    <mergeCell ref="E29:H29"/>
    <mergeCell ref="I29:J29"/>
    <mergeCell ref="K29:L29"/>
    <mergeCell ref="A26:C26"/>
    <mergeCell ref="D26:F26"/>
    <mergeCell ref="G26:H26"/>
    <mergeCell ref="J26:K26"/>
    <mergeCell ref="B27:D27"/>
    <mergeCell ref="E27:H27"/>
    <mergeCell ref="I27:J27"/>
    <mergeCell ref="K27:L27"/>
    <mergeCell ref="A23:C23"/>
    <mergeCell ref="D23:L23"/>
    <mergeCell ref="A24:C24"/>
    <mergeCell ref="D24:L24"/>
    <mergeCell ref="A25:C25"/>
    <mergeCell ref="D25:L25"/>
    <mergeCell ref="A20:L20"/>
    <mergeCell ref="A21:C21"/>
    <mergeCell ref="D21:L21"/>
    <mergeCell ref="A22:C22"/>
    <mergeCell ref="D22:G22"/>
    <mergeCell ref="H22:J22"/>
    <mergeCell ref="K22:L22"/>
    <mergeCell ref="A17:C17"/>
    <mergeCell ref="D17:L17"/>
    <mergeCell ref="A18:C18"/>
    <mergeCell ref="D18:L18"/>
    <mergeCell ref="A19:C19"/>
    <mergeCell ref="D19:L19"/>
    <mergeCell ref="I12:J12"/>
    <mergeCell ref="K12:L12"/>
    <mergeCell ref="A14:L14"/>
    <mergeCell ref="A15:C15"/>
    <mergeCell ref="D15:L15"/>
    <mergeCell ref="A16:C16"/>
    <mergeCell ref="D16:L16"/>
    <mergeCell ref="A8:L8"/>
    <mergeCell ref="A10:H11"/>
    <mergeCell ref="I10:J10"/>
    <mergeCell ref="K10:L10"/>
    <mergeCell ref="I11:J11"/>
    <mergeCell ref="K11:L11"/>
    <mergeCell ref="A4:F4"/>
    <mergeCell ref="G4:H4"/>
    <mergeCell ref="I4:L4"/>
    <mergeCell ref="A5:L5"/>
    <mergeCell ref="A6:L6"/>
    <mergeCell ref="A7:L7"/>
    <mergeCell ref="A1:F3"/>
    <mergeCell ref="G1:H1"/>
    <mergeCell ref="I1:L1"/>
    <mergeCell ref="G2:H2"/>
    <mergeCell ref="I2:L2"/>
    <mergeCell ref="G3:H3"/>
    <mergeCell ref="I3:L3"/>
  </mergeCells>
  <conditionalFormatting sqref="D44">
    <cfRule type="expression" dxfId="0" priority="1">
      <formula>AND($L$26="Yes",$D$44="")</formula>
    </cfRule>
  </conditionalFormatting>
  <dataValidations count="6">
    <dataValidation type="list" sqref="K12:K13" xr:uid="{D8A9602F-51DD-426C-B192-273A76BD6F88}">
      <formula1>"PVT01,PVT02,PVT03,PVT04,PVT05,PVT06,PVT07,PVT08,PVT09"</formula1>
    </dataValidation>
    <dataValidation type="list" allowBlank="1" showInputMessage="1" showErrorMessage="1" sqref="D19:L19" xr:uid="{F3547A95-6CEC-4216-9ED3-557FBE824BE9}">
      <formula1>"GP,KM,PM,TD,ALL BRANCH"</formula1>
    </dataValidation>
    <dataValidation type="list" sqref="D25:L25" xr:uid="{0DD9B791-7298-4983-961D-44ADE90EF1DC}">
      <formula1>"Budgeted,Unbudgeted"</formula1>
    </dataValidation>
    <dataValidation type="list" sqref="D24:L24" xr:uid="{96B6E4EC-CA1F-4CB2-9620-CAD2E4B4C761}">
      <formula1>"Recurring,Ad Hoc"</formula1>
    </dataValidation>
    <dataValidation type="list" sqref="D23:L23" xr:uid="{F26EF015-2AE8-4C7B-90B2-FE3C0FD3AD7A}">
      <formula1>"Supplier,Staff Reimbursement,Staff Advance,Other"</formula1>
    </dataValidation>
    <dataValidation type="list" sqref="H21:J22 K21:L21 D21:G21" xr:uid="{38EF3EA5-0938-4E1B-A58E-701CC2E3C7E6}">
      <formula1>"Online Transfer,Cash,Cheque"</formula1>
    </dataValidation>
  </dataValidations>
  <pageMargins left="0.7" right="0.7" top="0.75" bottom="0.75" header="0.3" footer="0.3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3.8"/>
  <cols>
    <col min="1" max="1" width="12" customWidth="1"/>
    <col min="2" max="2" width="18" customWidth="1"/>
    <col min="3" max="3" width="67" customWidth="1"/>
    <col min="4" max="4" width="19" customWidth="1"/>
    <col min="5" max="5" width="17" customWidth="1"/>
    <col min="6" max="6" width="20" customWidth="1"/>
    <col min="7" max="7" width="29" customWidth="1"/>
    <col min="8" max="8" width="58" customWidth="1"/>
  </cols>
  <sheetData>
    <row r="1" spans="1:8" ht="20.55" customHeight="1">
      <c r="A1" s="9" t="s">
        <v>72</v>
      </c>
      <c r="B1" s="9" t="s">
        <v>73</v>
      </c>
      <c r="C1" s="9" t="s">
        <v>74</v>
      </c>
      <c r="D1" s="9" t="s">
        <v>44</v>
      </c>
      <c r="E1" s="9" t="s">
        <v>45</v>
      </c>
      <c r="F1" s="9" t="s">
        <v>75</v>
      </c>
      <c r="G1" s="9" t="s">
        <v>76</v>
      </c>
      <c r="H1" s="10" t="s">
        <v>77</v>
      </c>
    </row>
    <row r="2" spans="1:8" ht="20.55" customHeight="1">
      <c r="A2" s="11" t="s">
        <v>78</v>
      </c>
      <c r="B2" s="11" t="s">
        <v>42</v>
      </c>
      <c r="C2" s="11" t="s">
        <v>79</v>
      </c>
      <c r="D2" s="11" t="s">
        <v>80</v>
      </c>
      <c r="E2" s="11" t="s">
        <v>81</v>
      </c>
      <c r="F2" s="11" t="s">
        <v>82</v>
      </c>
      <c r="G2" s="11" t="s">
        <v>83</v>
      </c>
      <c r="H2" s="12" t="s">
        <v>84</v>
      </c>
    </row>
    <row r="3" spans="1:8" ht="20.55" customHeight="1">
      <c r="A3" s="11" t="s">
        <v>85</v>
      </c>
      <c r="B3" s="11" t="s">
        <v>42</v>
      </c>
      <c r="C3" s="11" t="s">
        <v>86</v>
      </c>
      <c r="D3" s="11" t="s">
        <v>80</v>
      </c>
      <c r="E3" s="11" t="s">
        <v>81</v>
      </c>
      <c r="F3" s="11" t="s">
        <v>82</v>
      </c>
      <c r="G3" s="11" t="s">
        <v>83</v>
      </c>
      <c r="H3" s="12" t="s">
        <v>87</v>
      </c>
    </row>
    <row r="4" spans="1:8" ht="20.55" customHeight="1">
      <c r="A4" s="11" t="s">
        <v>88</v>
      </c>
      <c r="B4" s="11" t="s">
        <v>42</v>
      </c>
      <c r="C4" s="11" t="s">
        <v>89</v>
      </c>
      <c r="D4" s="11" t="s">
        <v>90</v>
      </c>
      <c r="E4" s="11" t="s">
        <v>91</v>
      </c>
      <c r="F4" s="11" t="s">
        <v>82</v>
      </c>
      <c r="G4" s="11" t="s">
        <v>83</v>
      </c>
      <c r="H4" s="12" t="s">
        <v>92</v>
      </c>
    </row>
    <row r="5" spans="1:8" ht="20.55" customHeight="1">
      <c r="A5" s="11" t="s">
        <v>93</v>
      </c>
      <c r="B5" s="11" t="s">
        <v>42</v>
      </c>
      <c r="C5" s="11" t="s">
        <v>94</v>
      </c>
      <c r="D5" s="11" t="s">
        <v>90</v>
      </c>
      <c r="E5" s="11" t="s">
        <v>81</v>
      </c>
      <c r="F5" s="11" t="s">
        <v>82</v>
      </c>
      <c r="G5" s="11" t="s">
        <v>83</v>
      </c>
      <c r="H5" s="12" t="s">
        <v>95</v>
      </c>
    </row>
    <row r="6" spans="1:8" ht="20.55" customHeight="1">
      <c r="A6" s="11" t="s">
        <v>96</v>
      </c>
      <c r="B6" s="11" t="s">
        <v>42</v>
      </c>
      <c r="C6" s="11" t="s">
        <v>97</v>
      </c>
      <c r="D6" s="11" t="s">
        <v>98</v>
      </c>
      <c r="E6" s="11" t="s">
        <v>91</v>
      </c>
      <c r="F6" s="11" t="s">
        <v>82</v>
      </c>
      <c r="G6" s="11" t="s">
        <v>83</v>
      </c>
      <c r="H6" s="12" t="s">
        <v>99</v>
      </c>
    </row>
    <row r="7" spans="1:8" ht="20.55" customHeight="1">
      <c r="A7" s="11" t="s">
        <v>100</v>
      </c>
      <c r="B7" s="11" t="s">
        <v>101</v>
      </c>
      <c r="C7" s="11" t="s">
        <v>102</v>
      </c>
      <c r="D7" s="11" t="s">
        <v>98</v>
      </c>
      <c r="E7" s="11" t="s">
        <v>91</v>
      </c>
      <c r="F7" s="11" t="s">
        <v>82</v>
      </c>
      <c r="G7" s="11" t="s">
        <v>83</v>
      </c>
      <c r="H7" s="12" t="s">
        <v>103</v>
      </c>
    </row>
    <row r="8" spans="1:8" ht="20.55" customHeight="1">
      <c r="A8" s="11" t="s">
        <v>104</v>
      </c>
      <c r="B8" s="11" t="s">
        <v>101</v>
      </c>
      <c r="C8" s="11" t="s">
        <v>105</v>
      </c>
      <c r="D8" s="11" t="s">
        <v>90</v>
      </c>
      <c r="E8" s="11" t="s">
        <v>91</v>
      </c>
      <c r="F8" s="11" t="s">
        <v>82</v>
      </c>
      <c r="G8" s="11" t="s">
        <v>83</v>
      </c>
      <c r="H8" s="12" t="s">
        <v>106</v>
      </c>
    </row>
    <row r="9" spans="1:8" ht="20.55" customHeight="1">
      <c r="A9" s="11" t="s">
        <v>107</v>
      </c>
      <c r="B9" s="11" t="s">
        <v>108</v>
      </c>
      <c r="C9" s="11" t="s">
        <v>109</v>
      </c>
      <c r="D9" s="11" t="s">
        <v>98</v>
      </c>
      <c r="E9" s="11" t="s">
        <v>81</v>
      </c>
      <c r="F9" s="11" t="s">
        <v>80</v>
      </c>
      <c r="G9" s="11" t="s">
        <v>110</v>
      </c>
      <c r="H9" s="12" t="s">
        <v>111</v>
      </c>
    </row>
    <row r="10" spans="1:8" ht="20.55" customHeight="1">
      <c r="A10" s="11" t="s">
        <v>112</v>
      </c>
      <c r="B10" s="11" t="s">
        <v>108</v>
      </c>
      <c r="C10" s="11" t="s">
        <v>113</v>
      </c>
      <c r="D10" s="11" t="s">
        <v>98</v>
      </c>
      <c r="E10" s="11" t="s">
        <v>91</v>
      </c>
      <c r="F10" s="11" t="s">
        <v>80</v>
      </c>
      <c r="G10" s="11" t="s">
        <v>110</v>
      </c>
      <c r="H10" s="12" t="s">
        <v>114</v>
      </c>
    </row>
    <row r="12" spans="1:8">
      <c r="A12" s="13" t="s">
        <v>115</v>
      </c>
      <c r="B12" s="13"/>
      <c r="C12" s="13"/>
    </row>
    <row r="13" spans="1:8">
      <c r="A13" s="13" t="s">
        <v>119</v>
      </c>
      <c r="B13" s="13"/>
      <c r="C13" s="13"/>
    </row>
    <row r="14" spans="1:8">
      <c r="A14" s="13" t="s">
        <v>116</v>
      </c>
      <c r="B14" s="13"/>
      <c r="C14" s="13"/>
    </row>
    <row r="15" spans="1:8">
      <c r="A15" s="13"/>
      <c r="B15" s="13"/>
      <c r="C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PV</vt:lpstr>
      <vt:lpstr>Blank Form</vt:lpstr>
      <vt:lpstr>PV Approval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Syafiqah Hashim</cp:lastModifiedBy>
  <dcterms:modified xsi:type="dcterms:W3CDTF">2026-10-20T15:00:59Z</dcterms:modified>
</cp:coreProperties>
</file>